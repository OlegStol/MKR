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43BF456F-CE31-488E-B6BD-3B30106390B3}" xr6:coauthVersionLast="46" xr6:coauthVersionMax="46" xr10:uidLastSave="{00000000-0000-0000-0000-000000000000}"/>
  <bookViews>
    <workbookView xWindow="-108" yWindow="-108" windowWidth="23256" windowHeight="12600" xr2:uid="{0CB7628C-4809-46D7-9F22-95910A7D4A2B}"/>
  </bookViews>
  <sheets>
    <sheet name="ro=const" sheetId="1" r:id="rId1"/>
    <sheet name="ro=var" sheetId="2" r:id="rId2"/>
  </sheets>
  <externalReferences>
    <externalReference r:id="rId3"/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<sst xmlns="http://schemas.openxmlformats.org/spreadsheetml/2006/main" count="55" uniqueCount="25">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</sst>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3" borderId="1" xfId="0" applyFill="1" applyBorder="1"/>
    <xf numFmtId="166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General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360045</xdr:colOff>
          <xdr:row>15</xdr:row>
          <xdr:rowOff>9525</xdr:rowOff>
        </xdr:from>
        <xdr:to>
          <xdr:col>3</xdr:col>
          <xdr:colOff>55245</xdr:colOff>
          <xdr:row>18</xdr:row>
          <xdr:rowOff>17145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8D5C9CA-0C01-48F0-98AC-F78F2250B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23</xdr:row>
      <xdr:rowOff>104775</xdr:rowOff>
    </xdr:from>
    <xdr:to>
      <xdr:col>7</xdr:col>
      <xdr:colOff>9525</xdr:colOff>
      <xdr:row>44</xdr:row>
      <xdr:rowOff>66675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95250</xdr:rowOff>
    </xdr:from>
    <xdr:to>
      <xdr:col>14</xdr:col>
      <xdr:colOff>161925</xdr:colOff>
      <xdr:row>44</xdr:row>
      <xdr:rowOff>57150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7</xdr:col>
      <xdr:colOff>9525</xdr:colOff>
      <xdr:row>64</xdr:row>
      <xdr:rowOff>142875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44</xdr:row>
      <xdr:rowOff>0</xdr:rowOff>
    </xdr:from>
    <xdr:to>
      <xdr:col>14</xdr:col>
      <xdr:colOff>161925</xdr:colOff>
      <xdr:row>64</xdr:row>
      <xdr:rowOff>142875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29</xdr:row>
      <xdr:rowOff>141514</xdr:rowOff>
    </xdr:from>
    <xdr:to>
      <xdr:col>24</xdr:col>
      <xdr:colOff>161925</xdr:colOff>
      <xdr:row>54</xdr:row>
      <xdr:rowOff>142875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418BD46-E319-4A12-A288-E3E12032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16</xdr:row>
          <xdr:rowOff>114300</xdr:rowOff>
        </xdr:from>
        <xdr:to>
          <xdr:col>2</xdr:col>
          <xdr:colOff>579120</xdr:colOff>
          <xdr:row>19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21</xdr:row>
      <xdr:rowOff>9525</xdr:rowOff>
    </xdr:from>
    <xdr:to>
      <xdr:col>7</xdr:col>
      <xdr:colOff>9525</xdr:colOff>
      <xdr:row>42</xdr:row>
      <xdr:rowOff>57150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14</xdr:col>
      <xdr:colOff>161925</xdr:colOff>
      <xdr:row>42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41</xdr:row>
      <xdr:rowOff>171450</xdr:rowOff>
    </xdr:from>
    <xdr:to>
      <xdr:col>7</xdr:col>
      <xdr:colOff>9525</xdr:colOff>
      <xdr:row>63</xdr:row>
      <xdr:rowOff>34018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41</xdr:row>
      <xdr:rowOff>171450</xdr:rowOff>
    </xdr:from>
    <xdr:to>
      <xdr:col>14</xdr:col>
      <xdr:colOff>161925</xdr:colOff>
      <xdr:row>63</xdr:row>
      <xdr:rowOff>34018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ab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ab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"/>
      <sheetName val="Лист1"/>
      <sheetName val="Лист3"/>
    </sheetNames>
    <sheetDataSet>
      <sheetData sheetId="0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неявная 2"/>
      <sheetName val="явная 2"/>
    </sheetNames>
    <sheetDataSet>
      <sheetData sheetId="0" refreshError="1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300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DD20F-1324-41D1-AACE-34D2E6297EB9}">
  <sheetPr codeName="Лист1"/>
  <dimension ref="B1:V29"/>
  <sheetViews>
    <sheetView tabSelected="1" zoomScale="70" zoomScaleNormal="70" workbookViewId="0">
      <selection activeCell="AD40" sqref="AD40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57.361770732970903</v>
      </c>
      <c r="H5" s="2">
        <v>63.55893647553463</v>
      </c>
      <c r="I5" s="2">
        <v>70.828855833440514</v>
      </c>
      <c r="J5" s="2">
        <v>79.421668839555522</v>
      </c>
      <c r="K5" s="2">
        <v>89.677106167680876</v>
      </c>
      <c r="L5" s="2">
        <v>102.05150505930324</v>
      </c>
      <c r="M5" s="2">
        <v>117.16960557841188</v>
      </c>
      <c r="N5" s="2">
        <v>135.90540256665204</v>
      </c>
      <c r="O5" s="2">
        <v>159.51222826440323</v>
      </c>
      <c r="P5" s="2">
        <v>189.8393627020636</v>
      </c>
      <c r="Q5" s="2">
        <v>229.70732955548328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133050.45415058901</v>
      </c>
      <c r="H6" s="2">
        <v>132583.67182289076</v>
      </c>
      <c r="I6" s="2">
        <v>131973.45583551101</v>
      </c>
      <c r="J6" s="2">
        <v>131164.70440047697</v>
      </c>
      <c r="K6" s="2">
        <v>130074.84097772367</v>
      </c>
      <c r="L6" s="2">
        <v>128578.34703624115</v>
      </c>
      <c r="M6" s="2">
        <v>126479.21849325717</v>
      </c>
      <c r="N6" s="2">
        <v>123461.82474043293</v>
      </c>
      <c r="O6" s="2">
        <v>118999.59303076175</v>
      </c>
      <c r="P6" s="2">
        <v>112177.19821167205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1.3666963331192272</v>
      </c>
      <c r="H9" s="5">
        <f>H4*H7*H12</f>
        <v>1.3667003714783417</v>
      </c>
      <c r="I9" s="5">
        <f t="shared" ref="I9:Q9" si="3">I4*I7*I12</f>
        <v>1.3669251884098725</v>
      </c>
      <c r="J9" s="5">
        <f t="shared" si="3"/>
        <v>1.3671817912822168</v>
      </c>
      <c r="K9" s="5">
        <f t="shared" si="3"/>
        <v>1.3674478827502272</v>
      </c>
      <c r="L9" s="5">
        <f t="shared" si="3"/>
        <v>1.36770026588791</v>
      </c>
      <c r="M9" s="5">
        <f t="shared" si="3"/>
        <v>1.3679171440280218</v>
      </c>
      <c r="N9" s="5">
        <f t="shared" si="3"/>
        <v>1.3680814635648844</v>
      </c>
      <c r="O9" s="5">
        <f t="shared" si="3"/>
        <v>1.3681850539064733</v>
      </c>
      <c r="P9" s="5">
        <f t="shared" si="3"/>
        <v>1.3682325297172326</v>
      </c>
      <c r="Q9" s="5">
        <f t="shared" si="3"/>
        <v>1.3682425610246536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-2.3164811390438144E-4</v>
      </c>
      <c r="H10" s="7">
        <f>(H12)*(H9-I9)</f>
        <v>-1.4289167291770162E-2</v>
      </c>
      <c r="I10" s="7">
        <f t="shared" ref="I10:P10" si="4">(I12)*(I9-J9)</f>
        <v>-1.817494243035182E-2</v>
      </c>
      <c r="J10" s="7">
        <f t="shared" si="4"/>
        <v>-2.1133487274772357E-2</v>
      </c>
      <c r="K10" s="7">
        <f t="shared" si="4"/>
        <v>-2.2633042942868973E-2</v>
      </c>
      <c r="L10" s="7">
        <f t="shared" si="4"/>
        <v>-2.2132781049266841E-2</v>
      </c>
      <c r="M10" s="7">
        <f t="shared" si="4"/>
        <v>-1.9253279596606658E-2</v>
      </c>
      <c r="N10" s="7">
        <f t="shared" si="4"/>
        <v>-1.4078497674358457E-2</v>
      </c>
      <c r="O10" s="7">
        <f t="shared" si="4"/>
        <v>-7.5729751918951213E-3</v>
      </c>
      <c r="P10" s="7">
        <f t="shared" si="4"/>
        <v>-1.9043373072512412E-3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57.361940169170005</v>
      </c>
      <c r="H12" s="3">
        <f>((G6-H6)/H7+G5*H5)^0.5</f>
        <v>63.559124281563086</v>
      </c>
      <c r="I12" s="3">
        <f t="shared" ref="I12:Q12" si="5">((H6-I6)/I7+H5*I5)^0.5</f>
        <v>70.82906853032101</v>
      </c>
      <c r="J12" s="3">
        <f t="shared" si="5"/>
        <v>79.421889896703618</v>
      </c>
      <c r="K12" s="3">
        <f t="shared" si="5"/>
        <v>89.677318186414354</v>
      </c>
      <c r="L12" s="3">
        <f t="shared" si="5"/>
        <v>102.0516915068732</v>
      </c>
      <c r="M12" s="3">
        <f t="shared" si="5"/>
        <v>117.16975330029275</v>
      </c>
      <c r="N12" s="3">
        <f t="shared" si="5"/>
        <v>135.90550488025008</v>
      </c>
      <c r="O12" s="3">
        <f t="shared" si="5"/>
        <v>159.51228785283837</v>
      </c>
      <c r="P12" s="3">
        <f t="shared" si="5"/>
        <v>189.83939254770934</v>
      </c>
      <c r="Q12" s="3">
        <f t="shared" si="5"/>
        <v>229.70734908838384</v>
      </c>
    </row>
    <row r="13" spans="2:17" x14ac:dyDescent="0.3">
      <c r="F13" s="1" t="s">
        <v>12</v>
      </c>
      <c r="G13" s="13">
        <f>C10-(G7*G12^2)/2</f>
        <v>133050.44263336691</v>
      </c>
      <c r="H13" s="2">
        <f>H6+H10</f>
        <v>132583.65753372345</v>
      </c>
      <c r="I13" s="2">
        <f t="shared" ref="I13:P13" si="6">I6+I10</f>
        <v>131973.43766056857</v>
      </c>
      <c r="J13" s="2">
        <f t="shared" si="6"/>
        <v>131164.68326698968</v>
      </c>
      <c r="K13" s="2">
        <f t="shared" si="6"/>
        <v>130074.81834468072</v>
      </c>
      <c r="L13" s="2">
        <f t="shared" si="6"/>
        <v>128578.3249034601</v>
      </c>
      <c r="M13" s="2">
        <f t="shared" si="6"/>
        <v>126479.19923997758</v>
      </c>
      <c r="N13" s="2">
        <f t="shared" si="6"/>
        <v>123461.81066193526</v>
      </c>
      <c r="O13" s="2">
        <f t="shared" si="6"/>
        <v>118999.58545778655</v>
      </c>
      <c r="P13" s="2">
        <f t="shared" si="6"/>
        <v>112177.19630733474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2101</v>
      </c>
      <c r="F14" s="1" t="s">
        <v>13</v>
      </c>
      <c r="G14" s="5">
        <v>1.1850000000000001</v>
      </c>
      <c r="H14" s="5">
        <v>1.1850000000000001</v>
      </c>
      <c r="I14" s="5">
        <v>1.1850000000000001</v>
      </c>
      <c r="J14" s="5">
        <v>1.1850000000000001</v>
      </c>
      <c r="K14" s="5">
        <v>1.1850000000000001</v>
      </c>
      <c r="L14" s="5">
        <v>1.1850000000000001</v>
      </c>
      <c r="M14" s="5">
        <v>1.1850000000000001</v>
      </c>
      <c r="N14" s="5">
        <v>1.1850000000000001</v>
      </c>
      <c r="O14" s="5">
        <v>1.1850000000000001</v>
      </c>
      <c r="P14" s="5">
        <v>1.1850000000000001</v>
      </c>
      <c r="Q14" s="5">
        <v>1.1850000000000001</v>
      </c>
    </row>
    <row r="16" spans="2:17" x14ac:dyDescent="0.3">
      <c r="F16" s="1" t="s">
        <v>16</v>
      </c>
      <c r="G16" s="1">
        <f>$C$11-(G12^2)/(2*$C$8)</f>
        <v>286.52201432296459</v>
      </c>
      <c r="H16" s="1">
        <f t="shared" ref="H16:Q16" si="7">$C$11-(H12^2)/(2*$C$8)</f>
        <v>286.14897140814179</v>
      </c>
      <c r="I16" s="1">
        <f t="shared" si="7"/>
        <v>285.66261501427073</v>
      </c>
      <c r="J16" s="1">
        <f t="shared" si="7"/>
        <v>285.01990440343405</v>
      </c>
      <c r="K16" s="1">
        <f t="shared" si="7"/>
        <v>284.15661221447817</v>
      </c>
      <c r="L16" s="1">
        <f t="shared" si="7"/>
        <v>282.97554808761134</v>
      </c>
      <c r="M16" s="1">
        <f t="shared" si="7"/>
        <v>281.32570900473547</v>
      </c>
      <c r="N16" s="1">
        <f t="shared" si="7"/>
        <v>278.96532184486114</v>
      </c>
      <c r="O16" s="1">
        <f t="shared" si="7"/>
        <v>275.49367218700945</v>
      </c>
      <c r="P16" s="1">
        <f t="shared" si="7"/>
        <v>270.21947670211568</v>
      </c>
      <c r="Q16" s="1">
        <f t="shared" si="7"/>
        <v>261.89289468499038</v>
      </c>
    </row>
    <row r="17" spans="6:22" x14ac:dyDescent="0.3">
      <c r="F17" s="1" t="s">
        <v>17</v>
      </c>
      <c r="G17" s="1">
        <f>SQRT($C$6*$C$7*G16)</f>
        <v>339.28352994509726</v>
      </c>
      <c r="H17" s="1">
        <f t="shared" ref="H17:Q17" si="8">SQRT($C$6*$C$7*H16)</f>
        <v>339.06258960863283</v>
      </c>
      <c r="I17" s="1">
        <f t="shared" si="8"/>
        <v>338.77432124974496</v>
      </c>
      <c r="J17" s="1">
        <f t="shared" si="8"/>
        <v>338.39300348713948</v>
      </c>
      <c r="K17" s="1">
        <f t="shared" si="8"/>
        <v>337.88013828660974</v>
      </c>
      <c r="L17" s="1">
        <f t="shared" si="8"/>
        <v>337.17722725610815</v>
      </c>
      <c r="M17" s="1">
        <f t="shared" si="8"/>
        <v>336.19286415733114</v>
      </c>
      <c r="N17" s="1">
        <f t="shared" si="8"/>
        <v>334.77952577278211</v>
      </c>
      <c r="O17" s="1">
        <f t="shared" si="8"/>
        <v>332.68988282301382</v>
      </c>
      <c r="P17" s="1">
        <f t="shared" si="8"/>
        <v>329.48989838145775</v>
      </c>
      <c r="Q17" s="1">
        <f t="shared" si="8"/>
        <v>324.37370251448789</v>
      </c>
    </row>
    <row r="18" spans="6:22" x14ac:dyDescent="0.3">
      <c r="F18" s="1" t="s">
        <v>18</v>
      </c>
      <c r="G18" s="1">
        <f>G12/G17</f>
        <v>0.16906785949336325</v>
      </c>
      <c r="H18" s="1">
        <f t="shared" ref="H18:Q18" si="9">H12/H17</f>
        <v>0.18745543221069297</v>
      </c>
      <c r="I18" s="1">
        <f t="shared" si="9"/>
        <v>0.20907449026547001</v>
      </c>
      <c r="J18" s="1">
        <f t="shared" si="9"/>
        <v>0.23470310874711103</v>
      </c>
      <c r="K18" s="1">
        <f t="shared" si="9"/>
        <v>0.26541162981987654</v>
      </c>
      <c r="L18" s="1">
        <f t="shared" si="9"/>
        <v>0.30266483990438142</v>
      </c>
      <c r="M18" s="1">
        <f t="shared" si="9"/>
        <v>0.34851945354039338</v>
      </c>
      <c r="N18" s="1">
        <f t="shared" si="9"/>
        <v>0.40595524641638442</v>
      </c>
      <c r="O18" s="1">
        <f t="shared" si="9"/>
        <v>0.47946239452582506</v>
      </c>
      <c r="P18" s="1">
        <f t="shared" si="9"/>
        <v>0.57616149533036087</v>
      </c>
      <c r="Q18" s="1">
        <f t="shared" si="9"/>
        <v>0.7081565099381758</v>
      </c>
    </row>
    <row r="20" spans="6:22" x14ac:dyDescent="0.3">
      <c r="F20" s="14" t="s">
        <v>20</v>
      </c>
      <c r="G20" s="14">
        <f>1-((($C$6-1)/($C$6+1))*G21^2)</f>
        <v>0.99459235536867718</v>
      </c>
      <c r="H20" s="14">
        <f t="shared" ref="H20:Q20" si="10">1-((($C$6-1)/($C$6+1))*H21^2)</f>
        <v>0.9934335745165318</v>
      </c>
      <c r="I20" s="14">
        <f t="shared" si="10"/>
        <v>0.99196042555157893</v>
      </c>
      <c r="J20" s="14">
        <f t="shared" si="10"/>
        <v>0.99007620549130937</v>
      </c>
      <c r="K20" s="14">
        <f t="shared" si="10"/>
        <v>0.98765112516205777</v>
      </c>
      <c r="L20" s="14">
        <f t="shared" si="10"/>
        <v>0.98451570733030835</v>
      </c>
      <c r="M20" s="14">
        <f t="shared" si="10"/>
        <v>0.9804549489867217</v>
      </c>
      <c r="N20" s="14">
        <f t="shared" si="10"/>
        <v>0.97521062787936008</v>
      </c>
      <c r="O20" s="14">
        <f t="shared" si="10"/>
        <v>0.96850401863499058</v>
      </c>
      <c r="P20" s="14">
        <f t="shared" si="10"/>
        <v>0.96009889378496471</v>
      </c>
      <c r="Q20" s="14">
        <f t="shared" si="10"/>
        <v>0.94992582806459369</v>
      </c>
    </row>
    <row r="21" spans="6:22" x14ac:dyDescent="0.3">
      <c r="F21" s="14" t="s">
        <v>19</v>
      </c>
      <c r="G21" s="14">
        <f>SQRT(((($C$6+1)/2)*G18^2)/(1+2*G18^2))</f>
        <v>0.18012736546104449</v>
      </c>
      <c r="H21" s="14">
        <f t="shared" ref="H21:Q21" si="11">SQRT(((($C$6+1)/2)*H18^2)/(1+2*H18^2))</f>
        <v>0.19849068718911952</v>
      </c>
      <c r="I21" s="14">
        <f t="shared" si="11"/>
        <v>0.21963024994414249</v>
      </c>
      <c r="J21" s="14">
        <f t="shared" si="11"/>
        <v>0.24401386651611354</v>
      </c>
      <c r="K21" s="14">
        <f t="shared" si="11"/>
        <v>0.27220075133557836</v>
      </c>
      <c r="L21" s="14">
        <f t="shared" si="11"/>
        <v>0.30480445537778816</v>
      </c>
      <c r="M21" s="14">
        <f t="shared" si="11"/>
        <v>0.3424475231034233</v>
      </c>
      <c r="N21" s="14">
        <f t="shared" si="11"/>
        <v>0.38566336710120586</v>
      </c>
      <c r="O21" s="14">
        <f t="shared" si="11"/>
        <v>0.43471357028514379</v>
      </c>
      <c r="P21" s="14">
        <f t="shared" si="11"/>
        <v>0.48929197550155235</v>
      </c>
      <c r="Q21" s="14">
        <f t="shared" si="11"/>
        <v>0.54812866337424626</v>
      </c>
    </row>
    <row r="22" spans="6:22" x14ac:dyDescent="0.3">
      <c r="F22" s="14" t="s">
        <v>21</v>
      </c>
      <c r="G22" s="14">
        <f>(1-((($C$6-1)/($C$6+1))*G21^2))^($C$6/($C$6-1))</f>
        <v>0.98120083457136054</v>
      </c>
      <c r="H22" s="14">
        <f t="shared" ref="H22:Q22" si="12">(1-((($C$6-1)/($C$6+1))*H21^2))^($C$6/($C$6-1))</f>
        <v>0.97720553297139401</v>
      </c>
      <c r="I22" s="14">
        <f t="shared" si="12"/>
        <v>0.97214313093338578</v>
      </c>
      <c r="J22" s="14">
        <f t="shared" si="12"/>
        <v>0.96569544143026032</v>
      </c>
      <c r="K22" s="14">
        <f t="shared" si="12"/>
        <v>0.95744198942442293</v>
      </c>
      <c r="L22" s="14">
        <f t="shared" si="12"/>
        <v>0.94684583468535755</v>
      </c>
      <c r="M22" s="14">
        <f t="shared" si="12"/>
        <v>0.93324731817462836</v>
      </c>
      <c r="N22" s="14">
        <f t="shared" si="12"/>
        <v>0.91589247229469972</v>
      </c>
      <c r="O22" s="14">
        <f t="shared" si="12"/>
        <v>0.89403597527738221</v>
      </c>
      <c r="P22" s="14">
        <f t="shared" si="12"/>
        <v>0.86717328992627773</v>
      </c>
      <c r="Q22" s="14">
        <f t="shared" si="12"/>
        <v>0.83543744419327803</v>
      </c>
    </row>
    <row r="23" spans="6:22" x14ac:dyDescent="0.3">
      <c r="F23" s="14" t="s">
        <v>5</v>
      </c>
      <c r="G23" s="14">
        <f>G14/G22</f>
        <v>1.2077038239757201</v>
      </c>
      <c r="H23" s="14">
        <f t="shared" ref="H23:Q23" si="13">H14/H22</f>
        <v>1.2126415170785663</v>
      </c>
      <c r="I23" s="14">
        <f t="shared" si="13"/>
        <v>1.2189563062203028</v>
      </c>
      <c r="J23" s="14">
        <f t="shared" si="13"/>
        <v>1.2270949506036135</v>
      </c>
      <c r="K23" s="14">
        <f t="shared" si="13"/>
        <v>1.237672896205833</v>
      </c>
      <c r="L23" s="14">
        <f t="shared" si="13"/>
        <v>1.2515236975127872</v>
      </c>
      <c r="M23" s="14">
        <f t="shared" si="13"/>
        <v>1.2697598770685821</v>
      </c>
      <c r="N23" s="14">
        <f t="shared" si="13"/>
        <v>1.293820001633021</v>
      </c>
      <c r="O23" s="14">
        <f t="shared" si="13"/>
        <v>1.325450018532357</v>
      </c>
      <c r="P23" s="14">
        <f t="shared" si="13"/>
        <v>1.3665088786357134</v>
      </c>
      <c r="Q23" s="14">
        <f t="shared" si="13"/>
        <v>1.418418588053914</v>
      </c>
    </row>
    <row r="26" spans="6:22" x14ac:dyDescent="0.3">
      <c r="P26" s="1"/>
      <c r="Q26" s="1">
        <v>0</v>
      </c>
      <c r="R26" s="1">
        <v>2.5000000000000001E-2</v>
      </c>
      <c r="S26" s="1">
        <v>0.05</v>
      </c>
      <c r="T26" s="1">
        <v>7.4999999999999997E-2</v>
      </c>
      <c r="U26" s="1">
        <v>0.1</v>
      </c>
      <c r="V26" s="1"/>
    </row>
    <row r="27" spans="6:22" x14ac:dyDescent="0.3">
      <c r="P27" s="1" t="s">
        <v>22</v>
      </c>
      <c r="Q27" s="1">
        <v>46.31</v>
      </c>
      <c r="R27" s="1">
        <v>58.19</v>
      </c>
      <c r="S27" s="1">
        <v>80.48</v>
      </c>
      <c r="T27" s="1">
        <v>120.03</v>
      </c>
      <c r="U27" s="1">
        <v>213.26</v>
      </c>
      <c r="V27" s="1"/>
    </row>
    <row r="28" spans="6:22" x14ac:dyDescent="0.3">
      <c r="P28" s="1" t="s">
        <v>23</v>
      </c>
      <c r="Q28" s="1">
        <v>133165</v>
      </c>
      <c r="R28" s="1">
        <v>132230</v>
      </c>
      <c r="S28" s="1">
        <v>129765</v>
      </c>
      <c r="T28" s="1">
        <v>123565</v>
      </c>
      <c r="U28" s="1">
        <v>101336</v>
      </c>
      <c r="V28" s="1"/>
    </row>
    <row r="29" spans="6:22" x14ac:dyDescent="0.3">
      <c r="P29" s="1" t="s">
        <v>24</v>
      </c>
      <c r="Q29" s="1">
        <v>1.387</v>
      </c>
      <c r="R29" s="1"/>
      <c r="S29" s="1"/>
      <c r="T29" s="1"/>
      <c r="U29" s="1"/>
      <c r="V2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358140</xdr:colOff>
                    <xdr:row>15</xdr:row>
                    <xdr:rowOff>7620</xdr:rowOff>
                  </from>
                  <to>
                    <xdr:col>3</xdr:col>
                    <xdr:colOff>53340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7170-272E-4EAD-A7B9-E85AF819E77D}">
  <sheetPr codeName="Лист2"/>
  <dimension ref="B1:Q18"/>
  <sheetViews>
    <sheetView zoomScale="80" zoomScaleNormal="80" workbookViewId="0">
      <selection activeCell="I5" sqref="I5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41.933062687226695</v>
      </c>
      <c r="H5" s="2">
        <v>46.551386940871602</v>
      </c>
      <c r="I5" s="2">
        <v>51.991442662699896</v>
      </c>
      <c r="J5" s="2">
        <v>58.486335177502596</v>
      </c>
      <c r="K5" s="2">
        <v>66.342073094497692</v>
      </c>
      <c r="L5" s="2">
        <v>75.99585506347006</v>
      </c>
      <c r="M5" s="2">
        <v>88.101272594774684</v>
      </c>
      <c r="N5" s="2">
        <v>103.70025337999361</v>
      </c>
      <c r="O5" s="2">
        <v>124.62615939424906</v>
      </c>
      <c r="P5" s="2">
        <v>154.71264266962615</v>
      </c>
      <c r="Q5" s="2">
        <v>205.86865898669578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133575.51445170629</v>
      </c>
      <c r="H6" s="2">
        <v>133227.85858173415</v>
      </c>
      <c r="I6" s="2">
        <v>132771.60956635035</v>
      </c>
      <c r="J6" s="2">
        <v>132160.88642409007</v>
      </c>
      <c r="K6" s="2">
        <v>131326.83841130373</v>
      </c>
      <c r="L6" s="2">
        <v>130160.38230722559</v>
      </c>
      <c r="M6" s="2">
        <v>128480.77690377602</v>
      </c>
      <c r="N6" s="2">
        <v>125969.8958123503</v>
      </c>
      <c r="O6" s="2">
        <v>122015.72675961358</v>
      </c>
      <c r="P6" s="2">
        <v>115248.62599135554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1.6202233645323596</v>
      </c>
      <c r="H7" s="5">
        <v>1.6171515456613619</v>
      </c>
      <c r="I7" s="5">
        <v>1.6131130011710286</v>
      </c>
      <c r="J7" s="5">
        <v>1.6076952220733001</v>
      </c>
      <c r="K7" s="5">
        <v>1.600276374519144</v>
      </c>
      <c r="L7" s="5">
        <v>1.5898655462167672</v>
      </c>
      <c r="M7" s="5">
        <v>1.5748084631441936</v>
      </c>
      <c r="N7" s="5">
        <v>1.5521638367984489</v>
      </c>
      <c r="O7" s="5">
        <v>1.5161934251354421</v>
      </c>
      <c r="P7" s="5">
        <v>1.4537933179322224</v>
      </c>
      <c r="Q7" s="5">
        <v>1.3221024765583353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1.3660305191040134</v>
      </c>
      <c r="H9" s="5">
        <f>H4*H7*H12</f>
        <v>1.3660276794910102</v>
      </c>
      <c r="I9" s="5">
        <f t="shared" ref="I9:Q9" si="3">I4*I7*I12</f>
        <v>1.3658771086896666</v>
      </c>
      <c r="J9" s="5">
        <f t="shared" si="3"/>
        <v>1.3659242672573835</v>
      </c>
      <c r="K9" s="5">
        <f t="shared" si="3"/>
        <v>1.3661394697588616</v>
      </c>
      <c r="L9" s="5">
        <f t="shared" si="3"/>
        <v>1.366482223242276</v>
      </c>
      <c r="M9" s="5">
        <f t="shared" si="3"/>
        <v>1.3669009817615767</v>
      </c>
      <c r="N9" s="5">
        <f t="shared" si="3"/>
        <v>1.3673348461226706</v>
      </c>
      <c r="O9" s="5">
        <f t="shared" si="3"/>
        <v>1.3677186458786699</v>
      </c>
      <c r="P9" s="5">
        <f t="shared" si="3"/>
        <v>1.3679932839141384</v>
      </c>
      <c r="Q9" s="5">
        <f t="shared" si="3"/>
        <v>1.368123315349423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1.1907341824808284E-4</v>
      </c>
      <c r="H10" s="7">
        <f>(H12)*(H9-I9)</f>
        <v>7.00926506492158E-3</v>
      </c>
      <c r="I10" s="7">
        <f t="shared" ref="I10:P10" si="4">(I12)*(I9-J9)</f>
        <v>-2.4518425401874764E-3</v>
      </c>
      <c r="J10" s="7">
        <f t="shared" si="4"/>
        <v>-1.2586428610306932E-2</v>
      </c>
      <c r="K10" s="7">
        <f t="shared" si="4"/>
        <v>-2.273903875499254E-2</v>
      </c>
      <c r="L10" s="7">
        <f t="shared" si="4"/>
        <v>-3.1824007666735953E-2</v>
      </c>
      <c r="M10" s="7">
        <f t="shared" si="4"/>
        <v>-3.8224108576376328E-2</v>
      </c>
      <c r="N10" s="7">
        <f t="shared" si="4"/>
        <v>-3.980021841213343E-2</v>
      </c>
      <c r="O10" s="7">
        <f t="shared" si="4"/>
        <v>-3.4227130838203675E-2</v>
      </c>
      <c r="P10" s="7">
        <f t="shared" si="4"/>
        <v>-2.0117519340003359E-2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41.932974005512754</v>
      </c>
      <c r="H12" s="3">
        <f>((G6-H6)/H7+G5*H5)^0.5</f>
        <v>46.551290172957685</v>
      </c>
      <c r="I12" s="3">
        <f t="shared" ref="I12:Q12" si="5">((H6-I6)/I7+H5*I5)^0.5</f>
        <v>51.991454764022336</v>
      </c>
      <c r="J12" s="3">
        <f t="shared" si="5"/>
        <v>58.486441950524409</v>
      </c>
      <c r="K12" s="3">
        <f t="shared" si="5"/>
        <v>66.342254288633356</v>
      </c>
      <c r="L12" s="3">
        <f t="shared" si="5"/>
        <v>75.9960841390822</v>
      </c>
      <c r="M12" s="3">
        <f t="shared" si="5"/>
        <v>88.101517441991973</v>
      </c>
      <c r="N12" s="3">
        <f t="shared" si="5"/>
        <v>103.70047867412852</v>
      </c>
      <c r="O12" s="3">
        <f t="shared" si="5"/>
        <v>124.62633145408277</v>
      </c>
      <c r="P12" s="3">
        <f t="shared" si="5"/>
        <v>154.71273770052707</v>
      </c>
      <c r="Q12" s="3">
        <f t="shared" si="5"/>
        <v>205.86867532760903</v>
      </c>
    </row>
    <row r="13" spans="2:17" x14ac:dyDescent="0.3">
      <c r="F13" s="1" t="s">
        <v>12</v>
      </c>
      <c r="G13" s="13">
        <f>C10-(G7*G12^2)/2</f>
        <v>133575.5204305253</v>
      </c>
      <c r="H13" s="2">
        <f>H6+H10</f>
        <v>133227.86559099922</v>
      </c>
      <c r="I13" s="2">
        <f t="shared" ref="I13:P13" si="6">I6+I10</f>
        <v>132771.60711450782</v>
      </c>
      <c r="J13" s="2">
        <f t="shared" si="6"/>
        <v>132160.87383766146</v>
      </c>
      <c r="K13" s="2">
        <f t="shared" si="6"/>
        <v>131326.81567226499</v>
      </c>
      <c r="L13" s="2">
        <f t="shared" si="6"/>
        <v>130160.35048321792</v>
      </c>
      <c r="M13" s="2">
        <f t="shared" si="6"/>
        <v>128480.73867966744</v>
      </c>
      <c r="N13" s="2">
        <f t="shared" si="6"/>
        <v>125969.85601213189</v>
      </c>
      <c r="O13" s="2">
        <f t="shared" si="6"/>
        <v>122015.69253248275</v>
      </c>
      <c r="P13" s="2">
        <f t="shared" si="6"/>
        <v>115248.6058738362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2100</v>
      </c>
      <c r="F14" s="1" t="s">
        <v>13</v>
      </c>
      <c r="G14" s="5">
        <f>G13/($C$7*G16)</f>
        <v>1.6202234161726006</v>
      </c>
      <c r="H14" s="5">
        <f t="shared" ref="H14:Q14" si="7">H13/($C$7*H16)</f>
        <v>1.6171516054775055</v>
      </c>
      <c r="I14" s="5">
        <f t="shared" si="7"/>
        <v>1.6131129749053561</v>
      </c>
      <c r="J14" s="5">
        <f t="shared" si="7"/>
        <v>1.6076951038575533</v>
      </c>
      <c r="K14" s="5">
        <f t="shared" si="7"/>
        <v>1.6002761644071399</v>
      </c>
      <c r="L14" s="5">
        <f t="shared" si="7"/>
        <v>1.589865254089625</v>
      </c>
      <c r="M14" s="5">
        <f t="shared" si="7"/>
        <v>1.5748081135926431</v>
      </c>
      <c r="N14" s="5">
        <f t="shared" si="7"/>
        <v>1.5521634740564856</v>
      </c>
      <c r="O14" s="5">
        <f t="shared" si="7"/>
        <v>1.5161931152506469</v>
      </c>
      <c r="P14" s="5">
        <f t="shared" si="7"/>
        <v>1.4537931411973446</v>
      </c>
      <c r="Q14" s="5">
        <f t="shared" si="7"/>
        <v>1.3221024931393905</v>
      </c>
    </row>
    <row r="16" spans="2:17" x14ac:dyDescent="0.3">
      <c r="F16" t="s">
        <v>16</v>
      </c>
      <c r="G16">
        <f>$C$11-(G12^2)/(2*$C$8)</f>
        <v>287.28466606550614</v>
      </c>
      <c r="H16">
        <f t="shared" ref="H16:Q16" si="8">$C$11-(H12^2)/(2*$C$8)</f>
        <v>287.0812374045617</v>
      </c>
      <c r="I16">
        <f t="shared" si="8"/>
        <v>286.81436778875423</v>
      </c>
      <c r="J16">
        <f t="shared" si="8"/>
        <v>286.45716393832748</v>
      </c>
      <c r="K16">
        <f t="shared" si="8"/>
        <v>285.96899744121492</v>
      </c>
      <c r="L16">
        <f t="shared" si="8"/>
        <v>285.28495355222589</v>
      </c>
      <c r="M16">
        <f t="shared" si="8"/>
        <v>284.29607033061387</v>
      </c>
      <c r="N16">
        <f t="shared" si="8"/>
        <v>282.80667071688259</v>
      </c>
      <c r="O16">
        <f t="shared" si="8"/>
        <v>280.42817425109524</v>
      </c>
      <c r="P16">
        <f t="shared" si="8"/>
        <v>276.24443670622321</v>
      </c>
      <c r="Q16">
        <f t="shared" si="8"/>
        <v>267.06191801631996</v>
      </c>
    </row>
    <row r="17" spans="6:17" x14ac:dyDescent="0.3">
      <c r="F17" t="s">
        <v>17</v>
      </c>
      <c r="G17">
        <f>SQRT($C$6*$C$7*G16)</f>
        <v>339.73477488507206</v>
      </c>
      <c r="H17">
        <f t="shared" ref="H17:Q17" si="9">SQRT($C$6*$C$7*H16)</f>
        <v>339.61446907434117</v>
      </c>
      <c r="I17">
        <f t="shared" si="9"/>
        <v>339.4565802194798</v>
      </c>
      <c r="J17">
        <f t="shared" si="9"/>
        <v>339.24513165201586</v>
      </c>
      <c r="K17">
        <f t="shared" si="9"/>
        <v>338.95594579116096</v>
      </c>
      <c r="L17">
        <f t="shared" si="9"/>
        <v>338.55030817753675</v>
      </c>
      <c r="M17">
        <f t="shared" si="9"/>
        <v>337.96304036519092</v>
      </c>
      <c r="N17">
        <f t="shared" si="9"/>
        <v>337.07660000740384</v>
      </c>
      <c r="O17">
        <f t="shared" si="9"/>
        <v>335.65614493058132</v>
      </c>
      <c r="P17">
        <f t="shared" si="9"/>
        <v>333.14289109425943</v>
      </c>
      <c r="Q17">
        <f t="shared" si="9"/>
        <v>327.55916997051253</v>
      </c>
    </row>
    <row r="18" spans="6:17" x14ac:dyDescent="0.3">
      <c r="F18" t="s">
        <v>18</v>
      </c>
      <c r="G18">
        <f>G12/G17</f>
        <v>0.12342855988086043</v>
      </c>
      <c r="H18">
        <f t="shared" ref="H18:Q18" si="10">H12/H17</f>
        <v>0.1370709861091568</v>
      </c>
      <c r="I18">
        <f t="shared" si="10"/>
        <v>0.15316083939338171</v>
      </c>
      <c r="J18">
        <f t="shared" si="10"/>
        <v>0.17240171337378976</v>
      </c>
      <c r="K18">
        <f t="shared" si="10"/>
        <v>0.19572530033005658</v>
      </c>
      <c r="L18">
        <f t="shared" si="10"/>
        <v>0.22447501096123545</v>
      </c>
      <c r="M18">
        <f t="shared" si="10"/>
        <v>0.26068388231681366</v>
      </c>
      <c r="N18">
        <f t="shared" si="10"/>
        <v>0.30764662593562042</v>
      </c>
      <c r="O18">
        <f t="shared" si="10"/>
        <v>0.37129167255334278</v>
      </c>
      <c r="P18">
        <f t="shared" si="10"/>
        <v>0.46440353925112771</v>
      </c>
      <c r="Q18">
        <f t="shared" si="10"/>
        <v>0.62849309132802389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274320</xdr:colOff>
                    <xdr:row>16</xdr:row>
                    <xdr:rowOff>114300</xdr:rowOff>
                  </from>
                  <to>
                    <xdr:col>2</xdr:col>
                    <xdr:colOff>579120</xdr:colOff>
                    <xdr:row>19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2021-04-16T09:31:27Z</dcterms:created>
  <dcterms:modified xsi:type="dcterms:W3CDTF">2021-04-29T19:35:48Z</dcterms:modified>
</cp:coreProperties>
</file>