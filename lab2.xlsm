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Олег\Desktop\"/>
    </mc:Choice>
  </mc:AlternateContent>
  <xr:revisionPtr revIDLastSave="0" documentId="13_ncr:1_{380FB94C-5136-4192-865F-1F5FD4DC9AD2}" xr6:coauthVersionLast="45" xr6:coauthVersionMax="45" xr10:uidLastSave="{00000000-0000-0000-0000-000000000000}"/>
  <bookViews>
    <workbookView xWindow="-28908" yWindow="-108" windowWidth="29016" windowHeight="15696" xr2:uid="{82948F11-3C60-4337-917F-0EFFF7BFEEA3}"/>
  </bookViews>
  <sheets>
    <sheet name="неявная схема" sheetId="1" r:id="rId1"/>
    <sheet name="явная схема" sheetId="5" r:id="rId2"/>
    <sheet name="неявная 2" sheetId="6" r:id="rId3"/>
    <sheet name="явная 2" sheetId="7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7" l="1"/>
  <c r="AC25" i="7"/>
  <c r="Y25" i="7"/>
  <c r="U25" i="7"/>
  <c r="Q25" i="7"/>
  <c r="M25" i="7"/>
  <c r="I25" i="7"/>
  <c r="E25" i="7"/>
  <c r="B25" i="7"/>
  <c r="AF22" i="7"/>
  <c r="AF25" i="7" s="1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C6" i="7"/>
  <c r="AB25" i="7" s="1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C23" i="6"/>
  <c r="B23" i="6"/>
  <c r="B27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AF24" i="6"/>
  <c r="AF22" i="6"/>
  <c r="B22" i="6"/>
  <c r="C18" i="6" s="1"/>
  <c r="C17" i="6"/>
  <c r="C16" i="6"/>
  <c r="C6" i="6"/>
  <c r="C21" i="6" s="1"/>
  <c r="D21" i="6" s="1"/>
  <c r="E21" i="6" s="1"/>
  <c r="F21" i="6" s="1"/>
  <c r="G21" i="6" s="1"/>
  <c r="H21" i="6" s="1"/>
  <c r="I21" i="6" s="1"/>
  <c r="J21" i="6" s="1"/>
  <c r="K21" i="6" s="1"/>
  <c r="L21" i="6" s="1"/>
  <c r="M21" i="6" s="1"/>
  <c r="N21" i="6" s="1"/>
  <c r="O21" i="6" s="1"/>
  <c r="P21" i="6" s="1"/>
  <c r="Q21" i="6" s="1"/>
  <c r="R21" i="6" s="1"/>
  <c r="S21" i="6" s="1"/>
  <c r="T21" i="6" s="1"/>
  <c r="U21" i="6" s="1"/>
  <c r="V21" i="6" s="1"/>
  <c r="W21" i="6" s="1"/>
  <c r="X21" i="6" s="1"/>
  <c r="Y21" i="6" s="1"/>
  <c r="Z21" i="6" s="1"/>
  <c r="AA21" i="6" s="1"/>
  <c r="AB21" i="6" s="1"/>
  <c r="AC21" i="6" s="1"/>
  <c r="AD21" i="6" s="1"/>
  <c r="AE21" i="6" s="1"/>
  <c r="AF21" i="6" s="1"/>
  <c r="E2" i="6"/>
  <c r="C16" i="1"/>
  <c r="C17" i="1"/>
  <c r="F25" i="7" l="1"/>
  <c r="J25" i="7"/>
  <c r="N25" i="7"/>
  <c r="R25" i="7"/>
  <c r="V25" i="7"/>
  <c r="Z25" i="7"/>
  <c r="AD25" i="7"/>
  <c r="B22" i="7"/>
  <c r="C25" i="7" s="1"/>
  <c r="G25" i="7"/>
  <c r="K25" i="7"/>
  <c r="O25" i="7"/>
  <c r="S25" i="7"/>
  <c r="W25" i="7"/>
  <c r="AA25" i="7"/>
  <c r="AE25" i="7"/>
  <c r="C7" i="7"/>
  <c r="D25" i="7"/>
  <c r="H25" i="7"/>
  <c r="L25" i="7"/>
  <c r="P25" i="7"/>
  <c r="T25" i="7"/>
  <c r="X25" i="7"/>
  <c r="C27" i="6"/>
  <c r="B25" i="6"/>
  <c r="C15" i="6"/>
  <c r="AD24" i="7" l="1"/>
  <c r="Z24" i="7"/>
  <c r="V24" i="7"/>
  <c r="R24" i="7"/>
  <c r="N24" i="7"/>
  <c r="J24" i="7"/>
  <c r="F24" i="7"/>
  <c r="AA24" i="7"/>
  <c r="S24" i="7"/>
  <c r="K24" i="7"/>
  <c r="AC24" i="7"/>
  <c r="Y24" i="7"/>
  <c r="U24" i="7"/>
  <c r="Q24" i="7"/>
  <c r="M24" i="7"/>
  <c r="I24" i="7"/>
  <c r="E24" i="7"/>
  <c r="W24" i="7"/>
  <c r="C24" i="7"/>
  <c r="AB24" i="7"/>
  <c r="X24" i="7"/>
  <c r="T24" i="7"/>
  <c r="P24" i="7"/>
  <c r="L24" i="7"/>
  <c r="H24" i="7"/>
  <c r="D24" i="7"/>
  <c r="AE24" i="7"/>
  <c r="O24" i="7"/>
  <c r="G24" i="7"/>
  <c r="C26" i="6"/>
  <c r="D27" i="6"/>
  <c r="D26" i="6" l="1"/>
  <c r="E26" i="6" l="1"/>
  <c r="E27" i="6"/>
  <c r="F27" i="6" s="1"/>
  <c r="F26" i="6" l="1"/>
  <c r="G26" i="6" l="1"/>
  <c r="G27" i="6"/>
  <c r="H27" i="6" s="1"/>
  <c r="C15" i="1"/>
  <c r="H26" i="6" l="1"/>
  <c r="I27" i="6" s="1"/>
  <c r="D25" i="1"/>
  <c r="C25" i="1"/>
  <c r="C27" i="1" s="1"/>
  <c r="C14" i="5"/>
  <c r="AF22" i="5" s="1"/>
  <c r="AE24" i="5" s="1"/>
  <c r="C13" i="5"/>
  <c r="C2" i="1"/>
  <c r="C8" i="5"/>
  <c r="C7" i="5"/>
  <c r="AB24" i="5" s="1"/>
  <c r="AC24" i="5"/>
  <c r="AA24" i="5"/>
  <c r="Y24" i="5"/>
  <c r="X24" i="5"/>
  <c r="W24" i="5"/>
  <c r="U24" i="5"/>
  <c r="T24" i="5"/>
  <c r="S24" i="5"/>
  <c r="Q24" i="5"/>
  <c r="P24" i="5"/>
  <c r="O24" i="5"/>
  <c r="M24" i="5"/>
  <c r="L24" i="5"/>
  <c r="K24" i="5"/>
  <c r="I24" i="5"/>
  <c r="H24" i="5"/>
  <c r="G24" i="5"/>
  <c r="E24" i="5"/>
  <c r="D24" i="5"/>
  <c r="B22" i="5"/>
  <c r="C24" i="5" s="1"/>
  <c r="C21" i="5"/>
  <c r="D21" i="5" s="1"/>
  <c r="E21" i="5" s="1"/>
  <c r="F21" i="5" s="1"/>
  <c r="G21" i="5" s="1"/>
  <c r="H21" i="5" s="1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T21" i="5" s="1"/>
  <c r="U21" i="5" s="1"/>
  <c r="V21" i="5" s="1"/>
  <c r="W21" i="5" s="1"/>
  <c r="X21" i="5" s="1"/>
  <c r="Y21" i="5" s="1"/>
  <c r="Z21" i="5" s="1"/>
  <c r="AA21" i="5" s="1"/>
  <c r="AB21" i="5" s="1"/>
  <c r="AC21" i="5" s="1"/>
  <c r="AD21" i="5" s="1"/>
  <c r="AE21" i="5" s="1"/>
  <c r="AF21" i="5" s="1"/>
  <c r="C6" i="5"/>
  <c r="AD24" i="5" s="1"/>
  <c r="E2" i="5"/>
  <c r="I26" i="6" l="1"/>
  <c r="J27" i="6" s="1"/>
  <c r="F24" i="5"/>
  <c r="J24" i="5"/>
  <c r="N24" i="5"/>
  <c r="R24" i="5"/>
  <c r="V24" i="5"/>
  <c r="Z24" i="5"/>
  <c r="J26" i="6" l="1"/>
  <c r="AF24" i="1"/>
  <c r="B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B27" i="1"/>
  <c r="C26" i="1"/>
  <c r="K26" i="6" l="1"/>
  <c r="K27" i="6"/>
  <c r="L27" i="6" s="1"/>
  <c r="D27" i="1"/>
  <c r="D26" i="1"/>
  <c r="E26" i="1" s="1"/>
  <c r="F26" i="1" s="1"/>
  <c r="G26" i="1" s="1"/>
  <c r="H26" i="1" s="1"/>
  <c r="I26" i="1" s="1"/>
  <c r="J26" i="1" s="1"/>
  <c r="K26" i="1" s="1"/>
  <c r="L26" i="1" s="1"/>
  <c r="M26" i="1" s="1"/>
  <c r="N26" i="1" s="1"/>
  <c r="O26" i="1" s="1"/>
  <c r="P26" i="1" s="1"/>
  <c r="Q26" i="1" s="1"/>
  <c r="R26" i="1" s="1"/>
  <c r="S26" i="1" s="1"/>
  <c r="T26" i="1" s="1"/>
  <c r="U26" i="1" s="1"/>
  <c r="V26" i="1" s="1"/>
  <c r="W26" i="1" s="1"/>
  <c r="X26" i="1" s="1"/>
  <c r="Y26" i="1" s="1"/>
  <c r="Z26" i="1" s="1"/>
  <c r="AA26" i="1" s="1"/>
  <c r="AB26" i="1" s="1"/>
  <c r="AC26" i="1" s="1"/>
  <c r="AD26" i="1" s="1"/>
  <c r="AE26" i="1" s="1"/>
  <c r="L26" i="6" l="1"/>
  <c r="E27" i="1"/>
  <c r="F27" i="1" s="1"/>
  <c r="G27" i="1" s="1"/>
  <c r="H27" i="1" s="1"/>
  <c r="M26" i="6" l="1"/>
  <c r="M27" i="6"/>
  <c r="N27" i="6" s="1"/>
  <c r="I27" i="1"/>
  <c r="J27" i="1" s="1"/>
  <c r="N26" i="6" l="1"/>
  <c r="AF22" i="1"/>
  <c r="O26" i="6" l="1"/>
  <c r="O27" i="6"/>
  <c r="P27" i="6" s="1"/>
  <c r="K27" i="1"/>
  <c r="L27" i="1" s="1"/>
  <c r="B22" i="1"/>
  <c r="D21" i="1"/>
  <c r="E21" i="1" s="1"/>
  <c r="F21" i="1" s="1"/>
  <c r="G21" i="1" s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C21" i="1"/>
  <c r="C6" i="1"/>
  <c r="P26" i="6" l="1"/>
  <c r="C18" i="1"/>
  <c r="Q26" i="6" l="1"/>
  <c r="Q27" i="6"/>
  <c r="R27" i="6" s="1"/>
  <c r="M27" i="1"/>
  <c r="N27" i="1" s="1"/>
  <c r="R26" i="6" l="1"/>
  <c r="S27" i="6" s="1"/>
  <c r="O27" i="1"/>
  <c r="P27" i="1" s="1"/>
  <c r="S26" i="6" l="1"/>
  <c r="Q27" i="1"/>
  <c r="R27" i="1" s="1"/>
  <c r="T26" i="6" l="1"/>
  <c r="T27" i="6"/>
  <c r="U27" i="6" s="1"/>
  <c r="S27" i="1"/>
  <c r="T27" i="1" s="1"/>
  <c r="U26" i="6" l="1"/>
  <c r="U27" i="1"/>
  <c r="V27" i="1" s="1"/>
  <c r="V26" i="6" l="1"/>
  <c r="V27" i="6"/>
  <c r="W27" i="6" s="1"/>
  <c r="W27" i="1"/>
  <c r="X27" i="1" s="1"/>
  <c r="W26" i="6" l="1"/>
  <c r="Y27" i="1"/>
  <c r="Z27" i="1" s="1"/>
  <c r="X26" i="6" l="1"/>
  <c r="X27" i="6"/>
  <c r="Y27" i="6" s="1"/>
  <c r="AA27" i="1"/>
  <c r="AB27" i="1" s="1"/>
  <c r="Y26" i="6" l="1"/>
  <c r="AC27" i="1"/>
  <c r="AD27" i="1" s="1"/>
  <c r="Z26" i="6" l="1"/>
  <c r="Z27" i="6"/>
  <c r="AA27" i="6" s="1"/>
  <c r="AE27" i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F24" i="1" s="1"/>
  <c r="E24" i="1" s="1"/>
  <c r="D24" i="1" s="1"/>
  <c r="C24" i="1" s="1"/>
  <c r="AA26" i="6" l="1"/>
  <c r="AB27" i="6" s="1"/>
  <c r="AB26" i="6" l="1"/>
  <c r="AC26" i="6" l="1"/>
  <c r="AC27" i="6"/>
  <c r="AD27" i="6" s="1"/>
  <c r="AD26" i="6" l="1"/>
  <c r="AE26" i="6" l="1"/>
  <c r="AE27" i="6"/>
  <c r="AE24" i="6" l="1"/>
  <c r="AD24" i="6" s="1"/>
  <c r="AC24" i="6" s="1"/>
  <c r="AB24" i="6" s="1"/>
  <c r="AA24" i="6" s="1"/>
  <c r="Z24" i="6" s="1"/>
  <c r="Y24" i="6" s="1"/>
  <c r="X24" i="6" s="1"/>
  <c r="W24" i="6" s="1"/>
  <c r="V24" i="6" s="1"/>
  <c r="U24" i="6" s="1"/>
  <c r="T24" i="6" s="1"/>
  <c r="S24" i="6" s="1"/>
  <c r="R24" i="6" s="1"/>
  <c r="Q24" i="6" s="1"/>
  <c r="P24" i="6" s="1"/>
  <c r="O24" i="6" s="1"/>
  <c r="N24" i="6" s="1"/>
  <c r="M24" i="6" s="1"/>
  <c r="L24" i="6" s="1"/>
  <c r="K24" i="6" s="1"/>
  <c r="J24" i="6" s="1"/>
  <c r="I24" i="6" s="1"/>
  <c r="H24" i="6" s="1"/>
  <c r="G24" i="6" s="1"/>
  <c r="F24" i="6" s="1"/>
  <c r="E24" i="6" s="1"/>
  <c r="D24" i="6" s="1"/>
  <c r="C24" i="6" s="1"/>
</calcChain>
</file>

<file path=xl/sharedStrings.xml><?xml version="1.0" encoding="utf-8"?>
<sst xmlns="http://schemas.openxmlformats.org/spreadsheetml/2006/main" count="79" uniqueCount="34">
  <si>
    <t>L</t>
  </si>
  <si>
    <t>dx</t>
  </si>
  <si>
    <t>dt</t>
  </si>
  <si>
    <t>t</t>
  </si>
  <si>
    <t>Cp</t>
  </si>
  <si>
    <t>ro</t>
  </si>
  <si>
    <t>lambda</t>
  </si>
  <si>
    <t>T</t>
  </si>
  <si>
    <t>T1</t>
  </si>
  <si>
    <t>T2</t>
  </si>
  <si>
    <t>T_iter</t>
  </si>
  <si>
    <t>alpha</t>
  </si>
  <si>
    <t>A</t>
  </si>
  <si>
    <t>B</t>
  </si>
  <si>
    <t>C</t>
  </si>
  <si>
    <t>F</t>
  </si>
  <si>
    <t>betta</t>
  </si>
  <si>
    <t>q</t>
  </si>
  <si>
    <t>q_start</t>
  </si>
  <si>
    <t>q1</t>
  </si>
  <si>
    <t>Гайд по макросам:</t>
  </si>
  <si>
    <t>nill</t>
  </si>
  <si>
    <t>для упрощения, зануляет значения температур в узлах выбранного листа</t>
  </si>
  <si>
    <t>iterat_both_1</t>
  </si>
  <si>
    <t>iterat_both_2</t>
  </si>
  <si>
    <t>проводит итерации на двух схемах для ГУ 1 рода</t>
  </si>
  <si>
    <t>проводит итерации на двух схемах для ГУ 2 рода</t>
  </si>
  <si>
    <t>Сочет. клавиш</t>
  </si>
  <si>
    <t>ctrl+i</t>
  </si>
  <si>
    <t>iterat</t>
  </si>
  <si>
    <t>проводит итерации на выбранном листе</t>
  </si>
  <si>
    <t>ctrl+n</t>
  </si>
  <si>
    <t>ctrl+o</t>
  </si>
  <si>
    <t>ctrl+t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</si>
</sst>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1" fillId="0" borderId="1" xfId="0" applyFont="1" applyBorder="1"/>
    <xf numFmtId="0" fontId="1" fillId="0" borderId="2" xfId="0" applyFont="1" applyBorder="1"/>
    <xf numFmtId="0" fontId="0" fillId="0" borderId="0" xfId="0" applyBorder="1"/>
    <xf numFmtId="0" fontId="1" fillId="0" borderId="0" xfId="0" applyFont="1" applyBorder="1"/>
    <xf numFmtId="165" fontId="0" fillId="0" borderId="2" xfId="0" applyNumberFormat="1" applyBorder="1"/>
    <xf numFmtId="0" fontId="0" fillId="0" borderId="1" xfId="0" applyFill="1" applyBorder="1"/>
    <xf numFmtId="0" fontId="1" fillId="0" borderId="0" xfId="0" applyFont="1"/>
    <xf numFmtId="0" fontId="0" fillId="2" borderId="0" xfId="0" applyFill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'неявная схема'!$B$21:$AF$21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схема'!$B$22:$AF$22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EFE-4DF9-B966-DB0E6FAE3C61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схема'!$B$22:$AF$22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FE-4DF9-B966-DB0E6FAE3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схема'!$B$22:$AF$22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0F-4C49-83C0-752632C54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'неявная 2'!$B$21:$AF$21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2'!$B$22:$AF$22</c:f>
              <c:numCache>
                <c:formatCode>General</c:formatCode>
                <c:ptCount val="31"/>
                <c:pt idx="0">
                  <c:v>300</c:v>
                </c:pt>
                <c:pt idx="1">
                  <c:v>206.54743788059909</c:v>
                </c:pt>
                <c:pt idx="2">
                  <c:v>128.88189756706825</c:v>
                </c:pt>
                <c:pt idx="3">
                  <c:v>73.687109963287497</c:v>
                </c:pt>
                <c:pt idx="4">
                  <c:v>39.083867163972613</c:v>
                </c:pt>
                <c:pt idx="5">
                  <c:v>19.450880254655605</c:v>
                </c:pt>
                <c:pt idx="6">
                  <c:v>9.1707032917640987</c:v>
                </c:pt>
                <c:pt idx="7">
                  <c:v>4.1289694463086635</c:v>
                </c:pt>
                <c:pt idx="8">
                  <c:v>1.7868257169587789</c:v>
                </c:pt>
                <c:pt idx="9">
                  <c:v>0.74720234415622833</c:v>
                </c:pt>
                <c:pt idx="10">
                  <c:v>0.30326148218954757</c:v>
                </c:pt>
                <c:pt idx="11">
                  <c:v>0.11990171637819486</c:v>
                </c:pt>
                <c:pt idx="12">
                  <c:v>4.6344263558078039E-2</c:v>
                </c:pt>
                <c:pt idx="13">
                  <c:v>1.7622539011588275E-2</c:v>
                </c:pt>
                <c:pt idx="14">
                  <c:v>6.7928958227917811E-3</c:v>
                </c:pt>
                <c:pt idx="15">
                  <c:v>3.1695748906270509E-3</c:v>
                </c:pt>
                <c:pt idx="16">
                  <c:v>3.0246150360804338E-3</c:v>
                </c:pt>
                <c:pt idx="17">
                  <c:v>6.1440355785668714E-3</c:v>
                </c:pt>
                <c:pt idx="18">
                  <c:v>1.554267740986552E-2</c:v>
                </c:pt>
                <c:pt idx="19">
                  <c:v>4.0000016930187933E-2</c:v>
                </c:pt>
                <c:pt idx="20">
                  <c:v>0.10109840048248173</c:v>
                </c:pt>
                <c:pt idx="21">
                  <c:v>0.24907126499738974</c:v>
                </c:pt>
                <c:pt idx="22">
                  <c:v>0.59560985694826685</c:v>
                </c:pt>
                <c:pt idx="23">
                  <c:v>1.3763235775387797</c:v>
                </c:pt>
                <c:pt idx="24">
                  <c:v>3.0569012392605259</c:v>
                </c:pt>
                <c:pt idx="25">
                  <c:v>6.4836267982445781</c:v>
                </c:pt>
                <c:pt idx="26">
                  <c:v>13.027955736572595</c:v>
                </c:pt>
                <c:pt idx="27">
                  <c:v>24.562369992706607</c:v>
                </c:pt>
                <c:pt idx="28">
                  <c:v>42.960632523936411</c:v>
                </c:pt>
                <c:pt idx="29">
                  <c:v>68.849145960660053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E6-4C7B-B47F-449D1BF64F1D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2'!$B$21:$AF$21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2'!$B$22:$AF$22</c:f>
              <c:numCache>
                <c:formatCode>General</c:formatCode>
                <c:ptCount val="31"/>
                <c:pt idx="0">
                  <c:v>17.916666666666668</c:v>
                </c:pt>
                <c:pt idx="1">
                  <c:v>11.250000000000002</c:v>
                </c:pt>
                <c:pt idx="2">
                  <c:v>6.4062500000000009</c:v>
                </c:pt>
                <c:pt idx="3">
                  <c:v>3.3854166666666674</c:v>
                </c:pt>
                <c:pt idx="4">
                  <c:v>1.4583333333333335</c:v>
                </c:pt>
                <c:pt idx="5">
                  <c:v>0.625</c:v>
                </c:pt>
                <c:pt idx="6">
                  <c:v>0.15625</c:v>
                </c:pt>
                <c:pt idx="7">
                  <c:v>5.2083333333333336E-2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0.78125</c:v>
                </c:pt>
                <c:pt idx="24">
                  <c:v>1.5625</c:v>
                </c:pt>
                <c:pt idx="25">
                  <c:v>7.03125</c:v>
                </c:pt>
                <c:pt idx="26">
                  <c:v>12.5</c:v>
                </c:pt>
                <c:pt idx="27">
                  <c:v>28.90625</c:v>
                </c:pt>
                <c:pt idx="28">
                  <c:v>45.3125</c:v>
                </c:pt>
                <c:pt idx="29">
                  <c:v>72.65625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E6-4C7B-B47F-449D1BF6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124532463839"/>
          <c:y val="2.1085682140180868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[1]Лист2!$B$21:$AF$21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[1]Лист2!$B$22:$AF$22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D7-4D17-858C-94BFBFD85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124532463839"/>
          <c:y val="2.1085682140180868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2'!$B$21:$AF$21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2'!$B$22:$AF$22</c:f>
              <c:numCache>
                <c:formatCode>General</c:formatCode>
                <c:ptCount val="31"/>
                <c:pt idx="0">
                  <c:v>17.916666666666668</c:v>
                </c:pt>
                <c:pt idx="1">
                  <c:v>11.250000000000002</c:v>
                </c:pt>
                <c:pt idx="2">
                  <c:v>6.4062500000000009</c:v>
                </c:pt>
                <c:pt idx="3">
                  <c:v>3.3854166666666674</c:v>
                </c:pt>
                <c:pt idx="4">
                  <c:v>1.4583333333333335</c:v>
                </c:pt>
                <c:pt idx="5">
                  <c:v>0.625</c:v>
                </c:pt>
                <c:pt idx="6">
                  <c:v>0.15625</c:v>
                </c:pt>
                <c:pt idx="7">
                  <c:v>5.2083333333333336E-2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0.78125</c:v>
                </c:pt>
                <c:pt idx="24">
                  <c:v>1.5625</c:v>
                </c:pt>
                <c:pt idx="25">
                  <c:v>7.03125</c:v>
                </c:pt>
                <c:pt idx="26">
                  <c:v>12.5</c:v>
                </c:pt>
                <c:pt idx="27">
                  <c:v>28.90625</c:v>
                </c:pt>
                <c:pt idx="28">
                  <c:v>45.3125</c:v>
                </c:pt>
                <c:pt idx="29">
                  <c:v>72.65625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CC-48BD-A067-F82CAEBBA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466726</xdr:colOff>
      <xdr:row>27</xdr:row>
      <xdr:rowOff>142875</xdr:rowOff>
    </xdr:from>
    <xdr:to>
      <xdr:col>20</xdr:col>
      <xdr:colOff>495300</xdr:colOff>
      <xdr:row>59</xdr:row>
      <xdr:rowOff>76200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2646EA6A-B16F-401C-B224-916F7853EA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F450A09-883B-43FE-A99E-F4FEA3466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449580</xdr:colOff>
      <xdr:row>27</xdr:row>
      <xdr:rowOff>137160</xdr:rowOff>
    </xdr:from>
    <xdr:to>
      <xdr:col>19</xdr:col>
      <xdr:colOff>478154</xdr:colOff>
      <xdr:row>59</xdr:row>
      <xdr:rowOff>178858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F9CAC0D-3789-4B1A-9578-4110E4C5C3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6BFFFED-E68C-4EA2-8323-4413D3DF8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69C1014-C606-464A-AB11-C001F68351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b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sheetDataSet>
      <sheetData sheetId="0"/>
      <sheetData sheetId="1">
        <row r="21">
          <cell r="B21">
            <v>0</v>
          </cell>
          <cell r="C21">
            <v>3.3333333333333335E-3</v>
          </cell>
          <cell r="D21">
            <v>6.6666666666666671E-3</v>
          </cell>
          <cell r="E21">
            <v>0.01</v>
          </cell>
          <cell r="F21">
            <v>1.3333333333333334E-2</v>
          </cell>
          <cell r="G21">
            <v>1.6666666666666666E-2</v>
          </cell>
          <cell r="H21">
            <v>0.02</v>
          </cell>
          <cell r="I21">
            <v>2.3333333333333334E-2</v>
          </cell>
          <cell r="J21">
            <v>2.6666666666666668E-2</v>
          </cell>
          <cell r="K21">
            <v>3.0000000000000002E-2</v>
          </cell>
          <cell r="L21">
            <v>3.3333333333333333E-2</v>
          </cell>
          <cell r="M21">
            <v>3.6666666666666667E-2</v>
          </cell>
          <cell r="N21">
            <v>0.04</v>
          </cell>
          <cell r="O21">
            <v>4.3333333333333335E-2</v>
          </cell>
          <cell r="P21">
            <v>4.6666666666666669E-2</v>
          </cell>
          <cell r="Q21">
            <v>0.05</v>
          </cell>
          <cell r="R21">
            <v>5.3333333333333337E-2</v>
          </cell>
          <cell r="S21">
            <v>5.6666666666666671E-2</v>
          </cell>
          <cell r="T21">
            <v>6.0000000000000005E-2</v>
          </cell>
          <cell r="U21">
            <v>6.3333333333333339E-2</v>
          </cell>
          <cell r="V21">
            <v>6.6666666666666666E-2</v>
          </cell>
          <cell r="W21">
            <v>6.9999999999999993E-2</v>
          </cell>
          <cell r="X21">
            <v>7.333333333333332E-2</v>
          </cell>
          <cell r="Y21">
            <v>7.6666666666666647E-2</v>
          </cell>
          <cell r="Z21">
            <v>7.9999999999999974E-2</v>
          </cell>
          <cell r="AA21">
            <v>8.3333333333333301E-2</v>
          </cell>
          <cell r="AB21">
            <v>8.6666666666666628E-2</v>
          </cell>
          <cell r="AC21">
            <v>8.9999999999999955E-2</v>
          </cell>
          <cell r="AD21">
            <v>9.3333333333333282E-2</v>
          </cell>
          <cell r="AE21">
            <v>9.6666666666666609E-2</v>
          </cell>
          <cell r="AF21">
            <v>9.9999999999999936E-2</v>
          </cell>
        </row>
        <row r="22">
          <cell r="B22">
            <v>299.99997763108735</v>
          </cell>
          <cell r="C22">
            <v>293.33331096442066</v>
          </cell>
          <cell r="D22">
            <v>286.6666443611611</v>
          </cell>
          <cell r="E22">
            <v>279.99997782112894</v>
          </cell>
          <cell r="F22">
            <v>273.33331134396514</v>
          </cell>
          <cell r="G22">
            <v>266.66664492913264</v>
          </cell>
          <cell r="H22">
            <v>259.99997857591751</v>
          </cell>
          <cell r="I22">
            <v>253.3333122834313</v>
          </cell>
          <cell r="J22">
            <v>246.66664605061328</v>
          </cell>
          <cell r="K22">
            <v>239.99997987623377</v>
          </cell>
          <cell r="L22">
            <v>233.33331375889719</v>
          </cell>
          <cell r="M22">
            <v>226.66664769704656</v>
          </cell>
          <cell r="N22">
            <v>219.9999816889673</v>
          </cell>
          <cell r="O22">
            <v>213.33331573279273</v>
          </cell>
          <cell r="P22">
            <v>206.66664982650872</v>
          </cell>
          <cell r="Q22">
            <v>199.99998396796005</v>
          </cell>
          <cell r="R22">
            <v>193.33331815485587</v>
          </cell>
          <cell r="S22">
            <v>186.6666523847768</v>
          </cell>
          <cell r="T22">
            <v>179.99998665518126</v>
          </cell>
          <cell r="U22">
            <v>173.33332096341309</v>
          </cell>
          <cell r="V22">
            <v>166.66665530670878</v>
          </cell>
          <cell r="W22">
            <v>159.9999896822055</v>
          </cell>
          <cell r="X22">
            <v>153.33332408694912</v>
          </cell>
          <cell r="Y22">
            <v>146.66665851790265</v>
          </cell>
          <cell r="Z22">
            <v>139.99999297195473</v>
          </cell>
          <cell r="AA22">
            <v>133.33332744592857</v>
          </cell>
          <cell r="AB22">
            <v>126.66666193659087</v>
          </cell>
          <cell r="AC22">
            <v>119.99999644066111</v>
          </cell>
          <cell r="AD22">
            <v>113.3333309548207</v>
          </cell>
          <cell r="AE22">
            <v>106.66666547572241</v>
          </cell>
          <cell r="AF22">
            <v>100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05C9D-EA62-43BF-8B44-9F135B57EF0A}">
  <sheetPr codeName="Лист1"/>
  <dimension ref="A2:AF27"/>
  <sheetViews>
    <sheetView tabSelected="1" zoomScale="90" zoomScaleNormal="90" workbookViewId="0">
      <selection activeCell="G9" sqref="G9"/>
    </sheetView>
  </sheetViews>
  <sheetFormatPr defaultRowHeight="14.4" x14ac:dyDescent="0.3"/>
  <cols>
    <col min="2" max="2" width="13.21875" bestFit="1" customWidth="1"/>
    <col min="3" max="3" width="12.6640625" bestFit="1" customWidth="1"/>
    <col min="4" max="32" width="7.77734375" bestFit="1" customWidth="1"/>
  </cols>
  <sheetData>
    <row r="2" spans="1:18" x14ac:dyDescent="0.3">
      <c r="C2">
        <f>(C10*C11*C6^2)/(2*C12)</f>
        <v>0.4333333333333334</v>
      </c>
      <c r="E2" s="11" t="s">
        <v>27</v>
      </c>
      <c r="F2" s="11"/>
      <c r="G2" s="11" t="s">
        <v>20</v>
      </c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</row>
    <row r="3" spans="1:18" x14ac:dyDescent="0.3">
      <c r="E3" s="11" t="s">
        <v>31</v>
      </c>
      <c r="F3" s="11"/>
      <c r="G3" s="11" t="s">
        <v>21</v>
      </c>
      <c r="H3" s="11"/>
      <c r="I3" s="11" t="s">
        <v>22</v>
      </c>
      <c r="J3" s="11"/>
      <c r="K3" s="11"/>
      <c r="L3" s="11"/>
      <c r="M3" s="11"/>
      <c r="N3" s="11"/>
      <c r="O3" s="11"/>
      <c r="P3" s="11"/>
      <c r="Q3" s="11"/>
      <c r="R3" s="11"/>
    </row>
    <row r="4" spans="1:18" x14ac:dyDescent="0.3">
      <c r="E4" s="11" t="s">
        <v>32</v>
      </c>
      <c r="F4" s="11"/>
      <c r="G4" s="11" t="s">
        <v>23</v>
      </c>
      <c r="H4" s="11"/>
      <c r="I4" s="11" t="s">
        <v>25</v>
      </c>
      <c r="J4" s="11"/>
      <c r="K4" s="11"/>
      <c r="L4" s="11"/>
      <c r="M4" s="11"/>
      <c r="N4" s="11"/>
      <c r="O4" s="11"/>
      <c r="P4" s="11"/>
      <c r="Q4" s="11"/>
      <c r="R4" s="11"/>
    </row>
    <row r="5" spans="1:18" x14ac:dyDescent="0.3">
      <c r="B5" s="3" t="s">
        <v>0</v>
      </c>
      <c r="C5" s="1">
        <v>0.1</v>
      </c>
      <c r="E5" s="11" t="s">
        <v>33</v>
      </c>
      <c r="F5" s="11"/>
      <c r="G5" s="11" t="s">
        <v>24</v>
      </c>
      <c r="H5" s="11"/>
      <c r="I5" s="11" t="s">
        <v>26</v>
      </c>
      <c r="J5" s="11"/>
      <c r="K5" s="11"/>
      <c r="L5" s="11"/>
      <c r="M5" s="11"/>
      <c r="N5" s="11"/>
      <c r="O5" s="11"/>
      <c r="P5" s="11"/>
      <c r="Q5" s="11"/>
      <c r="R5" s="11"/>
    </row>
    <row r="6" spans="1:18" x14ac:dyDescent="0.3">
      <c r="B6" s="4" t="s">
        <v>1</v>
      </c>
      <c r="C6" s="7">
        <f>C5/30</f>
        <v>3.3333333333333335E-3</v>
      </c>
      <c r="E6" s="11" t="s">
        <v>28</v>
      </c>
      <c r="F6" s="11"/>
      <c r="G6" s="11" t="s">
        <v>29</v>
      </c>
      <c r="H6" s="11"/>
      <c r="I6" s="11" t="s">
        <v>30</v>
      </c>
      <c r="J6" s="11"/>
      <c r="K6" s="11"/>
      <c r="L6" s="11"/>
      <c r="M6" s="11"/>
      <c r="N6" s="11"/>
      <c r="O6" s="11"/>
      <c r="P6" s="11"/>
      <c r="Q6" s="11"/>
      <c r="R6" s="11"/>
    </row>
    <row r="7" spans="1:18" x14ac:dyDescent="0.3">
      <c r="B7" s="3" t="s">
        <v>2</v>
      </c>
      <c r="C7" s="1">
        <v>5</v>
      </c>
    </row>
    <row r="8" spans="1:18" x14ac:dyDescent="0.3">
      <c r="B8" s="3" t="s">
        <v>3</v>
      </c>
      <c r="C8" s="1">
        <v>40</v>
      </c>
      <c r="D8" s="10">
        <v>45</v>
      </c>
    </row>
    <row r="9" spans="1:18" x14ac:dyDescent="0.3">
      <c r="A9" s="5"/>
      <c r="B9" s="6"/>
      <c r="C9" s="5"/>
      <c r="D9" s="5"/>
    </row>
    <row r="10" spans="1:18" x14ac:dyDescent="0.3">
      <c r="B10" s="3" t="s">
        <v>4</v>
      </c>
      <c r="C10" s="1">
        <v>460</v>
      </c>
    </row>
    <row r="11" spans="1:18" x14ac:dyDescent="0.3">
      <c r="B11" s="3" t="s">
        <v>5</v>
      </c>
      <c r="C11" s="1">
        <v>7800</v>
      </c>
    </row>
    <row r="12" spans="1:18" x14ac:dyDescent="0.3">
      <c r="B12" s="3" t="s">
        <v>6</v>
      </c>
      <c r="C12" s="1">
        <v>46</v>
      </c>
    </row>
    <row r="13" spans="1:18" x14ac:dyDescent="0.3">
      <c r="B13" s="3" t="s">
        <v>8</v>
      </c>
      <c r="C13" s="1">
        <v>300</v>
      </c>
    </row>
    <row r="14" spans="1:18" x14ac:dyDescent="0.3">
      <c r="B14" s="3" t="s">
        <v>9</v>
      </c>
      <c r="C14" s="1">
        <v>100</v>
      </c>
    </row>
    <row r="15" spans="1:18" x14ac:dyDescent="0.3">
      <c r="B15" s="3" t="s">
        <v>12</v>
      </c>
      <c r="C15" s="1">
        <f>$C$12/($C$6)^2</f>
        <v>4139999.9999999991</v>
      </c>
    </row>
    <row r="16" spans="1:18" x14ac:dyDescent="0.3">
      <c r="B16" s="3" t="s">
        <v>13</v>
      </c>
      <c r="C16" s="1">
        <f>(2*C12/(C6)^2)+(C11*C10/C7)</f>
        <v>8997599.9999999981</v>
      </c>
    </row>
    <row r="17" spans="1:32" x14ac:dyDescent="0.3">
      <c r="B17" s="3" t="s">
        <v>14</v>
      </c>
      <c r="C17" s="1">
        <f>$C$12/($C$6)^2</f>
        <v>4139999.9999999991</v>
      </c>
    </row>
    <row r="18" spans="1:32" x14ac:dyDescent="0.3">
      <c r="B18" s="1" t="s">
        <v>15</v>
      </c>
      <c r="C18" s="1">
        <f>-C11*C10/C7*B22</f>
        <v>-215280000</v>
      </c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C13</f>
        <v>300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f>C14</f>
        <v>100</v>
      </c>
    </row>
    <row r="23" spans="1:32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x14ac:dyDescent="0.3">
      <c r="A24" s="1" t="s">
        <v>10</v>
      </c>
      <c r="B24" s="1"/>
      <c r="C24" s="1">
        <f>C26*D24+C27</f>
        <v>198.42292229084813</v>
      </c>
      <c r="D24" s="1">
        <f t="shared" ref="D24:AD24" si="1">D26*E24+D27</f>
        <v>131.23915111210994</v>
      </c>
      <c r="E24" s="1">
        <f t="shared" si="1"/>
        <v>86.8034994594708</v>
      </c>
      <c r="F24" s="1">
        <f t="shared" si="1"/>
        <v>57.413787713139925</v>
      </c>
      <c r="G24" s="1">
        <f t="shared" si="1"/>
        <v>37.975799170419975</v>
      </c>
      <c r="H24" s="1">
        <f t="shared" si="1"/>
        <v>25.120282483906152</v>
      </c>
      <c r="I24" s="1">
        <f t="shared" si="1"/>
        <v>16.618948094602732</v>
      </c>
      <c r="J24" s="1">
        <f t="shared" si="1"/>
        <v>10.998231375030457</v>
      </c>
      <c r="K24" s="1">
        <f t="shared" si="1"/>
        <v>7.2838747604634584</v>
      </c>
      <c r="L24" s="1">
        <f t="shared" si="1"/>
        <v>4.8320564377101265</v>
      </c>
      <c r="M24" s="1">
        <f t="shared" si="1"/>
        <v>3.2177945641598829</v>
      </c>
      <c r="N24" s="1">
        <f t="shared" si="1"/>
        <v>2.1612837483973526</v>
      </c>
      <c r="O24" s="1">
        <f t="shared" si="1"/>
        <v>1.4793954490236962</v>
      </c>
      <c r="P24" s="1">
        <f t="shared" si="1"/>
        <v>1.0539356941474809</v>
      </c>
      <c r="Q24" s="1">
        <f t="shared" si="1"/>
        <v>0.81115812625682893</v>
      </c>
      <c r="R24" s="1">
        <f t="shared" si="1"/>
        <v>0.70898130025069406</v>
      </c>
      <c r="S24" s="1">
        <f t="shared" si="1"/>
        <v>0.72969456628801266</v>
      </c>
      <c r="T24" s="1">
        <f t="shared" si="1"/>
        <v>0.87688822381525355</v>
      </c>
      <c r="U24" s="1">
        <f t="shared" si="1"/>
        <v>1.1760758401371383</v>
      </c>
      <c r="V24" s="1">
        <f t="shared" si="1"/>
        <v>1.6791166020827941</v>
      </c>
      <c r="W24" s="1">
        <f t="shared" si="1"/>
        <v>2.4732042417228008</v>
      </c>
      <c r="X24" s="1">
        <f t="shared" si="1"/>
        <v>3.6959806165947593</v>
      </c>
      <c r="Y24" s="1">
        <f t="shared" si="1"/>
        <v>5.5593936316764765</v>
      </c>
      <c r="Z24" s="1">
        <f t="shared" si="1"/>
        <v>8.3864348762487833</v>
      </c>
      <c r="AA24" s="1">
        <f t="shared" si="1"/>
        <v>12.667124832704214</v>
      </c>
      <c r="AB24" s="1">
        <f t="shared" si="1"/>
        <v>19.143449760161708</v>
      </c>
      <c r="AC24" s="1">
        <f t="shared" si="1"/>
        <v>28.937972646047232</v>
      </c>
      <c r="AD24" s="1">
        <f t="shared" si="1"/>
        <v>43.748410790580948</v>
      </c>
      <c r="AE24" s="1">
        <f>AE26*AF24+AE27</f>
        <v>66.141906805482037</v>
      </c>
      <c r="AF24" s="8">
        <f>AF22</f>
        <v>100</v>
      </c>
    </row>
    <row r="25" spans="1:32" x14ac:dyDescent="0.3">
      <c r="A25" s="1" t="s">
        <v>15</v>
      </c>
      <c r="B25" s="1">
        <f>-$C$11*$C$10/$C$7*B22</f>
        <v>-215280000</v>
      </c>
      <c r="C25" s="1">
        <f>-$C$11*$C$10/$C$7*C22</f>
        <v>0</v>
      </c>
      <c r="D25" s="1">
        <f>-$C$11*$C$10/$C$7*D22</f>
        <v>0</v>
      </c>
      <c r="E25" s="1">
        <f t="shared" ref="E25:AE25" si="2">-$C$11*$C$10/$C$7*E22</f>
        <v>0</v>
      </c>
      <c r="F25" s="1">
        <f t="shared" si="2"/>
        <v>0</v>
      </c>
      <c r="G25" s="1">
        <f t="shared" si="2"/>
        <v>0</v>
      </c>
      <c r="H25" s="1">
        <f t="shared" si="2"/>
        <v>0</v>
      </c>
      <c r="I25" s="1">
        <f t="shared" si="2"/>
        <v>0</v>
      </c>
      <c r="J25" s="1">
        <f t="shared" si="2"/>
        <v>0</v>
      </c>
      <c r="K25" s="1">
        <f t="shared" si="2"/>
        <v>0</v>
      </c>
      <c r="L25" s="1">
        <f t="shared" si="2"/>
        <v>0</v>
      </c>
      <c r="M25" s="1">
        <f t="shared" si="2"/>
        <v>0</v>
      </c>
      <c r="N25" s="1">
        <f t="shared" si="2"/>
        <v>0</v>
      </c>
      <c r="O25" s="1">
        <f t="shared" si="2"/>
        <v>0</v>
      </c>
      <c r="P25" s="1">
        <f t="shared" si="2"/>
        <v>0</v>
      </c>
      <c r="Q25" s="1">
        <f t="shared" si="2"/>
        <v>0</v>
      </c>
      <c r="R25" s="1">
        <f t="shared" si="2"/>
        <v>0</v>
      </c>
      <c r="S25" s="1">
        <f t="shared" si="2"/>
        <v>0</v>
      </c>
      <c r="T25" s="1">
        <f t="shared" si="2"/>
        <v>0</v>
      </c>
      <c r="U25" s="1">
        <f t="shared" si="2"/>
        <v>0</v>
      </c>
      <c r="V25" s="1">
        <f t="shared" si="2"/>
        <v>0</v>
      </c>
      <c r="W25" s="1">
        <f t="shared" si="2"/>
        <v>0</v>
      </c>
      <c r="X25" s="1">
        <f t="shared" si="2"/>
        <v>0</v>
      </c>
      <c r="Y25" s="1">
        <f t="shared" si="2"/>
        <v>0</v>
      </c>
      <c r="Z25" s="1">
        <f t="shared" si="2"/>
        <v>0</v>
      </c>
      <c r="AA25" s="1">
        <f t="shared" si="2"/>
        <v>0</v>
      </c>
      <c r="AB25" s="1">
        <f t="shared" si="2"/>
        <v>0</v>
      </c>
      <c r="AC25" s="1">
        <f t="shared" si="2"/>
        <v>0</v>
      </c>
      <c r="AD25" s="1">
        <f t="shared" si="2"/>
        <v>0</v>
      </c>
      <c r="AE25" s="1">
        <f t="shared" si="2"/>
        <v>0</v>
      </c>
      <c r="AF25" s="1"/>
    </row>
    <row r="26" spans="1:32" x14ac:dyDescent="0.3">
      <c r="A26" s="8" t="s">
        <v>11</v>
      </c>
      <c r="B26" s="1">
        <v>0</v>
      </c>
      <c r="C26" s="1">
        <f>$C$15/($C$16+$C$17*B26)</f>
        <v>0.46012269938650308</v>
      </c>
      <c r="D26" s="1">
        <f>$C$15/($C$16-$C$17*C26)</f>
        <v>0.58369938884644768</v>
      </c>
      <c r="E26" s="1">
        <f t="shared" ref="E26:AE26" si="3">$C$15/($C$16-$C$17*D26)</f>
        <v>0.6290756456655735</v>
      </c>
      <c r="F26" s="1">
        <f t="shared" si="3"/>
        <v>0.64756031845324091</v>
      </c>
      <c r="G26" s="1">
        <f t="shared" si="3"/>
        <v>0.65540548315346114</v>
      </c>
      <c r="H26" s="1">
        <f t="shared" si="3"/>
        <v>0.65879284043803632</v>
      </c>
      <c r="I26" s="1">
        <f t="shared" si="3"/>
        <v>0.66026626867422533</v>
      </c>
      <c r="J26" s="1">
        <f t="shared" si="3"/>
        <v>0.66090923750646746</v>
      </c>
      <c r="K26" s="1">
        <f t="shared" si="3"/>
        <v>0.66119020634439474</v>
      </c>
      <c r="L26" s="1">
        <f t="shared" si="3"/>
        <v>0.66131306101377729</v>
      </c>
      <c r="M26" s="1">
        <f t="shared" si="3"/>
        <v>0.66136679402183063</v>
      </c>
      <c r="N26" s="1">
        <f t="shared" si="3"/>
        <v>0.66139029799916438</v>
      </c>
      <c r="O26" s="1">
        <f t="shared" si="3"/>
        <v>0.66140057967129717</v>
      </c>
      <c r="P26" s="1">
        <f t="shared" si="3"/>
        <v>0.66140507742683052</v>
      </c>
      <c r="Q26" s="1">
        <f t="shared" si="3"/>
        <v>0.66140704500587066</v>
      </c>
      <c r="R26" s="1">
        <f t="shared" si="3"/>
        <v>0.66140790574269959</v>
      </c>
      <c r="S26" s="1">
        <f t="shared" si="3"/>
        <v>0.66140828228120663</v>
      </c>
      <c r="T26" s="1">
        <f t="shared" si="3"/>
        <v>0.66140844700212786</v>
      </c>
      <c r="U26" s="1">
        <f t="shared" si="3"/>
        <v>0.66140851906113662</v>
      </c>
      <c r="V26" s="1">
        <f t="shared" si="3"/>
        <v>0.6614085505841607</v>
      </c>
      <c r="W26" s="1">
        <f t="shared" si="3"/>
        <v>0.66140856437426321</v>
      </c>
      <c r="X26" s="1">
        <f t="shared" si="3"/>
        <v>0.66140857040689915</v>
      </c>
      <c r="Y26" s="1">
        <f t="shared" si="3"/>
        <v>0.66140857304594403</v>
      </c>
      <c r="Z26" s="1">
        <f t="shared" si="3"/>
        <v>0.66140857420042398</v>
      </c>
      <c r="AA26" s="1">
        <f t="shared" si="3"/>
        <v>0.66140857470546432</v>
      </c>
      <c r="AB26" s="1">
        <f t="shared" si="3"/>
        <v>0.66140857492639993</v>
      </c>
      <c r="AC26" s="1">
        <f t="shared" si="3"/>
        <v>0.66140857502305062</v>
      </c>
      <c r="AD26" s="1">
        <f t="shared" si="3"/>
        <v>0.66140857506533157</v>
      </c>
      <c r="AE26" s="1">
        <f t="shared" si="3"/>
        <v>0.66140857508382789</v>
      </c>
      <c r="AF26" s="1"/>
    </row>
    <row r="27" spans="1:32" x14ac:dyDescent="0.3">
      <c r="A27" s="8" t="s">
        <v>16</v>
      </c>
      <c r="B27" s="1">
        <f>$C$13</f>
        <v>300</v>
      </c>
      <c r="C27" s="1">
        <f>(B27*$C$17-C25)/($C$16-$C$17*B26)</f>
        <v>138.03680981595093</v>
      </c>
      <c r="D27" s="1">
        <f t="shared" ref="D27:AE27" si="4">(C27*$C$17-D25)/($C$16-$C$17*C26)</f>
        <v>80.572001527883884</v>
      </c>
      <c r="E27" s="1">
        <f t="shared" si="4"/>
        <v>50.685883883721125</v>
      </c>
      <c r="F27" s="1">
        <f t="shared" si="4"/>
        <v>32.822167108826442</v>
      </c>
      <c r="G27" s="1">
        <f t="shared" si="4"/>
        <v>21.511828292104035</v>
      </c>
      <c r="H27" s="1">
        <f t="shared" si="4"/>
        <v>14.171838463570529</v>
      </c>
      <c r="I27" s="1">
        <f t="shared" si="4"/>
        <v>9.3571869025955792</v>
      </c>
      <c r="J27" s="1">
        <f t="shared" si="4"/>
        <v>6.1842512609999494</v>
      </c>
      <c r="K27" s="1">
        <f t="shared" si="4"/>
        <v>4.0889663673461394</v>
      </c>
      <c r="L27" s="1">
        <f t="shared" si="4"/>
        <v>2.7040868647720608</v>
      </c>
      <c r="M27" s="1">
        <f t="shared" si="4"/>
        <v>1.7883932605108412</v>
      </c>
      <c r="N27" s="1">
        <f t="shared" si="4"/>
        <v>1.1828259515089625</v>
      </c>
      <c r="O27" s="1">
        <f t="shared" si="4"/>
        <v>0.7823217699782814</v>
      </c>
      <c r="P27" s="1">
        <f t="shared" si="4"/>
        <v>0.51743159084518031</v>
      </c>
      <c r="Q27" s="1">
        <f t="shared" si="4"/>
        <v>0.34223289949359742</v>
      </c>
      <c r="R27" s="1">
        <f t="shared" si="4"/>
        <v>0.22635554533031207</v>
      </c>
      <c r="S27" s="1">
        <f t="shared" si="4"/>
        <v>0.14971343242174751</v>
      </c>
      <c r="T27" s="1">
        <f t="shared" si="4"/>
        <v>9.9021728833426026E-2</v>
      </c>
      <c r="U27" s="1">
        <f t="shared" si="4"/>
        <v>6.549381502258976E-2</v>
      </c>
      <c r="V27" s="1">
        <f t="shared" si="4"/>
        <v>4.3318169266318221E-2</v>
      </c>
      <c r="W27" s="1">
        <f t="shared" si="4"/>
        <v>2.8651008145756867E-2</v>
      </c>
      <c r="X27" s="1">
        <f t="shared" si="4"/>
        <v>1.895002233840147E-2</v>
      </c>
      <c r="Y27" s="1">
        <f t="shared" si="4"/>
        <v>1.253370723403088E-2</v>
      </c>
      <c r="Z27" s="1">
        <f t="shared" si="4"/>
        <v>8.2899014311059033E-3</v>
      </c>
      <c r="AA27" s="1">
        <f t="shared" si="4"/>
        <v>5.4830118899965438E-3</v>
      </c>
      <c r="AB27" s="1">
        <f t="shared" si="4"/>
        <v>3.626511080467121E-3</v>
      </c>
      <c r="AC27" s="1">
        <f t="shared" si="4"/>
        <v>2.3986055260370623E-3</v>
      </c>
      <c r="AD27" s="1">
        <f t="shared" si="4"/>
        <v>1.5864582631200034E-3</v>
      </c>
      <c r="AE27" s="1">
        <f t="shared" si="4"/>
        <v>1.049297099240166E-3</v>
      </c>
      <c r="AF27" s="1"/>
    </row>
  </sheetData>
  <mergeCells count="14">
    <mergeCell ref="E6:F6"/>
    <mergeCell ref="G6:H6"/>
    <mergeCell ref="I6:R6"/>
    <mergeCell ref="I4:R4"/>
    <mergeCell ref="I5:R5"/>
    <mergeCell ref="I3:R3"/>
    <mergeCell ref="G2:R2"/>
    <mergeCell ref="E2:F2"/>
    <mergeCell ref="E3:F3"/>
    <mergeCell ref="E4:F4"/>
    <mergeCell ref="E5:F5"/>
    <mergeCell ref="G3:H3"/>
    <mergeCell ref="G5:H5"/>
    <mergeCell ref="G4:H4"/>
  </mergeCells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D603F-BC64-40AB-A09F-E39443C7B4B1}">
  <sheetPr codeName="Лист2"/>
  <dimension ref="A2:AF24"/>
  <sheetViews>
    <sheetView zoomScale="70" zoomScaleNormal="70" workbookViewId="0">
      <selection activeCell="C22" sqref="C22:AE22"/>
    </sheetView>
  </sheetViews>
  <sheetFormatPr defaultRowHeight="14.4" x14ac:dyDescent="0.3"/>
  <sheetData>
    <row r="2" spans="2:5" x14ac:dyDescent="0.3">
      <c r="E2">
        <f>(C10*C11*C6^2)/(2*C12)</f>
        <v>0.4333333333333334</v>
      </c>
    </row>
    <row r="5" spans="2:5" x14ac:dyDescent="0.3">
      <c r="B5" s="3" t="s">
        <v>0</v>
      </c>
      <c r="C5" s="1">
        <v>0.1</v>
      </c>
    </row>
    <row r="6" spans="2:5" x14ac:dyDescent="0.3">
      <c r="B6" s="4" t="s">
        <v>1</v>
      </c>
      <c r="C6" s="7">
        <f>C5/30</f>
        <v>3.3333333333333335E-3</v>
      </c>
    </row>
    <row r="7" spans="2:5" x14ac:dyDescent="0.3">
      <c r="B7" s="3" t="s">
        <v>2</v>
      </c>
      <c r="C7" s="1">
        <f>(C10*C11*C6^2)/(2*C12)</f>
        <v>0.4333333333333334</v>
      </c>
    </row>
    <row r="8" spans="2:5" x14ac:dyDescent="0.3">
      <c r="B8" s="3" t="s">
        <v>3</v>
      </c>
      <c r="C8" s="1">
        <f>'неявная схема'!C8</f>
        <v>40</v>
      </c>
      <c r="D8">
        <v>40.300000000000004</v>
      </c>
    </row>
    <row r="9" spans="2:5" x14ac:dyDescent="0.3">
      <c r="B9" s="9"/>
    </row>
    <row r="10" spans="2:5" x14ac:dyDescent="0.3">
      <c r="B10" s="3" t="s">
        <v>4</v>
      </c>
      <c r="C10" s="1">
        <v>460</v>
      </c>
    </row>
    <row r="11" spans="2:5" x14ac:dyDescent="0.3">
      <c r="B11" s="3" t="s">
        <v>5</v>
      </c>
      <c r="C11" s="1">
        <v>7800</v>
      </c>
    </row>
    <row r="12" spans="2:5" x14ac:dyDescent="0.3">
      <c r="B12" s="3" t="s">
        <v>6</v>
      </c>
      <c r="C12" s="1">
        <v>46</v>
      </c>
    </row>
    <row r="13" spans="2:5" x14ac:dyDescent="0.3">
      <c r="B13" s="1" t="s">
        <v>8</v>
      </c>
      <c r="C13" s="1">
        <f>'неявная схема'!C13</f>
        <v>300</v>
      </c>
    </row>
    <row r="14" spans="2:5" x14ac:dyDescent="0.3">
      <c r="B14" s="1" t="s">
        <v>9</v>
      </c>
      <c r="C14" s="1">
        <f>'неявная схема'!C14</f>
        <v>100</v>
      </c>
    </row>
    <row r="15" spans="2:5" x14ac:dyDescent="0.3">
      <c r="B15" s="1"/>
      <c r="C15" s="1"/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1">
        <f>C13</f>
        <v>300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f>C14</f>
        <v>100</v>
      </c>
    </row>
    <row r="24" spans="1:32" x14ac:dyDescent="0.3">
      <c r="A24" t="s">
        <v>10</v>
      </c>
      <c r="C24">
        <f>C22+($C12*$C7)/($C10*$C11)*((D22-2*C22+B22)/$C6^2)</f>
        <v>150</v>
      </c>
      <c r="D24">
        <f t="shared" ref="D24:AE24" si="1">D22+($C12*$C7)/($C10*$C11)*((E22-2*D22+C22)/$C6^2)</f>
        <v>0</v>
      </c>
      <c r="E24">
        <f t="shared" si="1"/>
        <v>0</v>
      </c>
      <c r="F24">
        <f t="shared" si="1"/>
        <v>0</v>
      </c>
      <c r="G24">
        <f t="shared" si="1"/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 t="shared" si="1"/>
        <v>0</v>
      </c>
      <c r="P24">
        <f t="shared" si="1"/>
        <v>0</v>
      </c>
      <c r="Q24">
        <f t="shared" si="1"/>
        <v>0</v>
      </c>
      <c r="R24">
        <f t="shared" si="1"/>
        <v>0</v>
      </c>
      <c r="S24">
        <f t="shared" si="1"/>
        <v>0</v>
      </c>
      <c r="T24">
        <f t="shared" si="1"/>
        <v>0</v>
      </c>
      <c r="U24">
        <f t="shared" si="1"/>
        <v>0</v>
      </c>
      <c r="V24">
        <f t="shared" si="1"/>
        <v>0</v>
      </c>
      <c r="W24">
        <f t="shared" si="1"/>
        <v>0</v>
      </c>
      <c r="X24">
        <f t="shared" si="1"/>
        <v>0</v>
      </c>
      <c r="Y24">
        <f t="shared" si="1"/>
        <v>0</v>
      </c>
      <c r="Z24">
        <f t="shared" si="1"/>
        <v>0</v>
      </c>
      <c r="AA24">
        <f t="shared" si="1"/>
        <v>0</v>
      </c>
      <c r="AB24">
        <f t="shared" si="1"/>
        <v>0</v>
      </c>
      <c r="AC24">
        <f t="shared" si="1"/>
        <v>0</v>
      </c>
      <c r="AD24">
        <f t="shared" si="1"/>
        <v>0</v>
      </c>
      <c r="AE24">
        <f t="shared" si="1"/>
        <v>50</v>
      </c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281F9-0AB2-4418-A9BA-45655310C62E}">
  <sheetPr codeName="Лист3"/>
  <dimension ref="A2:AF27"/>
  <sheetViews>
    <sheetView workbookViewId="0">
      <selection activeCell="C8" sqref="C8"/>
    </sheetView>
  </sheetViews>
  <sheetFormatPr defaultRowHeight="14.4" x14ac:dyDescent="0.3"/>
  <cols>
    <col min="2" max="2" width="13.21875" bestFit="1" customWidth="1"/>
    <col min="3" max="3" width="12.6640625" bestFit="1" customWidth="1"/>
    <col min="4" max="32" width="7.77734375" bestFit="1" customWidth="1"/>
  </cols>
  <sheetData>
    <row r="2" spans="1:5" x14ac:dyDescent="0.3">
      <c r="E2">
        <f>(C10*C11*C6^2)/(2*C12)</f>
        <v>0.4333333333333334</v>
      </c>
    </row>
    <row r="5" spans="1:5" x14ac:dyDescent="0.3">
      <c r="B5" s="3" t="s">
        <v>0</v>
      </c>
      <c r="C5" s="1">
        <v>0.1</v>
      </c>
    </row>
    <row r="6" spans="1:5" x14ac:dyDescent="0.3">
      <c r="B6" s="4" t="s">
        <v>1</v>
      </c>
      <c r="C6" s="7">
        <f>C5/30</f>
        <v>3.3333333333333335E-3</v>
      </c>
    </row>
    <row r="7" spans="1:5" x14ac:dyDescent="0.3">
      <c r="B7" s="3" t="s">
        <v>2</v>
      </c>
      <c r="C7" s="1">
        <v>0.433</v>
      </c>
    </row>
    <row r="8" spans="1:5" x14ac:dyDescent="0.3">
      <c r="B8" s="3" t="s">
        <v>3</v>
      </c>
      <c r="C8" s="1">
        <v>2200</v>
      </c>
      <c r="D8" s="10">
        <v>3.0310000000000001</v>
      </c>
    </row>
    <row r="9" spans="1:5" x14ac:dyDescent="0.3">
      <c r="A9" s="5"/>
      <c r="B9" s="3" t="s">
        <v>18</v>
      </c>
      <c r="C9" s="1">
        <v>92000</v>
      </c>
      <c r="D9" s="5"/>
    </row>
    <row r="10" spans="1:5" x14ac:dyDescent="0.3">
      <c r="B10" s="3" t="s">
        <v>4</v>
      </c>
      <c r="C10" s="1">
        <v>460</v>
      </c>
    </row>
    <row r="11" spans="1:5" x14ac:dyDescent="0.3">
      <c r="B11" s="3" t="s">
        <v>5</v>
      </c>
      <c r="C11" s="1">
        <v>7800</v>
      </c>
    </row>
    <row r="12" spans="1:5" x14ac:dyDescent="0.3">
      <c r="B12" s="3" t="s">
        <v>6</v>
      </c>
      <c r="C12" s="1">
        <v>46</v>
      </c>
    </row>
    <row r="13" spans="1:5" x14ac:dyDescent="0.3">
      <c r="B13" s="3" t="s">
        <v>8</v>
      </c>
      <c r="C13" s="1">
        <v>300</v>
      </c>
    </row>
    <row r="14" spans="1:5" x14ac:dyDescent="0.3">
      <c r="B14" s="3" t="s">
        <v>9</v>
      </c>
      <c r="C14" s="1">
        <v>100</v>
      </c>
    </row>
    <row r="15" spans="1:5" x14ac:dyDescent="0.3">
      <c r="B15" s="3" t="s">
        <v>12</v>
      </c>
      <c r="C15" s="1">
        <f>$C$12/($C$6)^2</f>
        <v>4139999.9999999991</v>
      </c>
    </row>
    <row r="16" spans="1:5" x14ac:dyDescent="0.3">
      <c r="B16" s="3" t="s">
        <v>13</v>
      </c>
      <c r="C16" s="1">
        <f>(2*C12/(C6)^2)+(C11*C10/C7)</f>
        <v>16566374.13394919</v>
      </c>
    </row>
    <row r="17" spans="1:32" x14ac:dyDescent="0.3">
      <c r="B17" s="3" t="s">
        <v>14</v>
      </c>
      <c r="C17" s="1">
        <f>$C$12/($C$6)^2</f>
        <v>4139999.9999999991</v>
      </c>
    </row>
    <row r="18" spans="1:32" x14ac:dyDescent="0.3">
      <c r="B18" s="1" t="s">
        <v>15</v>
      </c>
      <c r="C18" s="1">
        <f>-C11*C10/C7*B22</f>
        <v>-2485912240.1847572</v>
      </c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C13</f>
        <v>300</v>
      </c>
      <c r="C22" s="8">
        <v>206.54743788059909</v>
      </c>
      <c r="D22" s="8">
        <v>128.88189756706825</v>
      </c>
      <c r="E22" s="8">
        <v>73.687109963287497</v>
      </c>
      <c r="F22" s="8">
        <v>39.083867163972613</v>
      </c>
      <c r="G22" s="8">
        <v>19.450880254655605</v>
      </c>
      <c r="H22" s="8">
        <v>9.1707032917640987</v>
      </c>
      <c r="I22" s="8">
        <v>4.1289694463086635</v>
      </c>
      <c r="J22" s="8">
        <v>1.7868257169587789</v>
      </c>
      <c r="K22" s="8">
        <v>0.74720234415622833</v>
      </c>
      <c r="L22" s="8">
        <v>0.30326148218954757</v>
      </c>
      <c r="M22" s="8">
        <v>0.11990171637819486</v>
      </c>
      <c r="N22" s="8">
        <v>4.6344263558078039E-2</v>
      </c>
      <c r="O22" s="8">
        <v>1.7622539011588275E-2</v>
      </c>
      <c r="P22" s="8">
        <v>6.7928958227917811E-3</v>
      </c>
      <c r="Q22" s="8">
        <v>3.1695748906270509E-3</v>
      </c>
      <c r="R22" s="8">
        <v>3.0246150360804338E-3</v>
      </c>
      <c r="S22" s="8">
        <v>6.1440355785668714E-3</v>
      </c>
      <c r="T22" s="8">
        <v>1.554267740986552E-2</v>
      </c>
      <c r="U22" s="8">
        <v>4.0000016930187933E-2</v>
      </c>
      <c r="V22" s="8">
        <v>0.10109840048248173</v>
      </c>
      <c r="W22" s="8">
        <v>0.24907126499738974</v>
      </c>
      <c r="X22" s="8">
        <v>0.59560985694826685</v>
      </c>
      <c r="Y22" s="8">
        <v>1.3763235775387797</v>
      </c>
      <c r="Z22" s="8">
        <v>3.0569012392605259</v>
      </c>
      <c r="AA22" s="8">
        <v>6.4836267982445781</v>
      </c>
      <c r="AB22" s="8">
        <v>13.027955736572595</v>
      </c>
      <c r="AC22" s="8">
        <v>24.562369992706607</v>
      </c>
      <c r="AD22" s="8">
        <v>42.960632523936411</v>
      </c>
      <c r="AE22" s="8">
        <v>68.849145960660053</v>
      </c>
      <c r="AF22" s="8">
        <f>C14</f>
        <v>100</v>
      </c>
    </row>
    <row r="23" spans="1:32" x14ac:dyDescent="0.3">
      <c r="A23" s="1" t="s">
        <v>17</v>
      </c>
      <c r="B23" s="1">
        <f>C9</f>
        <v>92000</v>
      </c>
      <c r="C23" s="1">
        <f>-$C$12*(C22-B22)/$C$6</f>
        <v>1289645.3572477326</v>
      </c>
      <c r="D23" s="1">
        <f t="shared" ref="D23:AF23" si="1">-$C$12*(D22-C22)/$C$6</f>
        <v>1071784.4563267257</v>
      </c>
      <c r="E23" s="1">
        <f t="shared" si="1"/>
        <v>761688.06893217436</v>
      </c>
      <c r="F23" s="1">
        <f t="shared" si="1"/>
        <v>477524.75063054537</v>
      </c>
      <c r="G23" s="1">
        <f t="shared" si="1"/>
        <v>270935.2193485747</v>
      </c>
      <c r="H23" s="1">
        <f t="shared" si="1"/>
        <v>141866.44208790277</v>
      </c>
      <c r="I23" s="1">
        <f t="shared" si="1"/>
        <v>69575.927067284996</v>
      </c>
      <c r="J23" s="1">
        <f t="shared" si="1"/>
        <v>32321.583465028405</v>
      </c>
      <c r="K23" s="1">
        <f t="shared" si="1"/>
        <v>14346.802544675196</v>
      </c>
      <c r="L23" s="1">
        <f t="shared" si="1"/>
        <v>6126.383895140194</v>
      </c>
      <c r="M23" s="1">
        <f t="shared" si="1"/>
        <v>2530.3647681966677</v>
      </c>
      <c r="N23" s="1">
        <f t="shared" si="1"/>
        <v>1015.0928489176121</v>
      </c>
      <c r="O23" s="1">
        <f t="shared" si="1"/>
        <v>396.35979874155873</v>
      </c>
      <c r="P23" s="1">
        <f t="shared" si="1"/>
        <v>149.44907600539162</v>
      </c>
      <c r="Q23" s="1">
        <f t="shared" si="1"/>
        <v>50.001828863873271</v>
      </c>
      <c r="R23" s="1">
        <f t="shared" si="1"/>
        <v>2.000445992743316</v>
      </c>
      <c r="S23" s="1">
        <f t="shared" si="1"/>
        <v>-43.048003486312837</v>
      </c>
      <c r="T23" s="1">
        <f t="shared" si="1"/>
        <v>-129.70125727192132</v>
      </c>
      <c r="U23" s="1">
        <f t="shared" si="1"/>
        <v>-337.51128538044924</v>
      </c>
      <c r="V23" s="1">
        <f t="shared" si="1"/>
        <v>-843.15769302165427</v>
      </c>
      <c r="W23" s="1">
        <f t="shared" si="1"/>
        <v>-2042.0255303057304</v>
      </c>
      <c r="X23" s="1">
        <f t="shared" si="1"/>
        <v>-4782.2325689221034</v>
      </c>
      <c r="Y23" s="1">
        <f t="shared" si="1"/>
        <v>-10773.849344149075</v>
      </c>
      <c r="Z23" s="1">
        <f t="shared" si="1"/>
        <v>-23191.971731760095</v>
      </c>
      <c r="AA23" s="1">
        <f t="shared" si="1"/>
        <v>-47288.812713979918</v>
      </c>
      <c r="AB23" s="1">
        <f t="shared" si="1"/>
        <v>-90311.739348926625</v>
      </c>
      <c r="AC23" s="1">
        <f t="shared" si="1"/>
        <v>-159174.91673464936</v>
      </c>
      <c r="AD23" s="1">
        <f t="shared" si="1"/>
        <v>-253896.02293097126</v>
      </c>
      <c r="AE23" s="1">
        <f t="shared" si="1"/>
        <v>-357261.48542678624</v>
      </c>
      <c r="AF23" s="1">
        <f t="shared" si="1"/>
        <v>-429881.78574289125</v>
      </c>
    </row>
    <row r="24" spans="1:32" x14ac:dyDescent="0.3">
      <c r="A24" s="1" t="s">
        <v>10</v>
      </c>
      <c r="B24" s="1"/>
      <c r="C24" s="1">
        <f>C26*D24+C27</f>
        <v>212.8753434555116</v>
      </c>
      <c r="D24" s="1">
        <f t="shared" ref="D24:AD24" si="2">D26*E24+D27</f>
        <v>138.41624079460479</v>
      </c>
      <c r="E24" s="1">
        <f t="shared" si="2"/>
        <v>83.040504101053727</v>
      </c>
      <c r="F24" s="1">
        <f t="shared" si="2"/>
        <v>46.385956597796948</v>
      </c>
      <c r="G24" s="1">
        <f t="shared" si="2"/>
        <v>24.346830594111609</v>
      </c>
      <c r="H24" s="1">
        <f t="shared" si="2"/>
        <v>12.107143299114203</v>
      </c>
      <c r="I24" s="1">
        <f t="shared" si="2"/>
        <v>5.7448570965804482</v>
      </c>
      <c r="J24" s="1">
        <f t="shared" si="2"/>
        <v>2.6168340893558879</v>
      </c>
      <c r="K24" s="1">
        <f t="shared" si="2"/>
        <v>1.1501057458976744</v>
      </c>
      <c r="L24" s="1">
        <f t="shared" si="2"/>
        <v>0.48980453448546546</v>
      </c>
      <c r="M24" s="1">
        <f t="shared" si="2"/>
        <v>0.20287663790727245</v>
      </c>
      <c r="N24" s="1">
        <f t="shared" si="2"/>
        <v>8.2026336383430432E-2</v>
      </c>
      <c r="O24" s="1">
        <f t="shared" si="2"/>
        <v>3.2595118266760308E-2</v>
      </c>
      <c r="P24" s="1">
        <f t="shared" si="2"/>
        <v>1.313211113041912E-2</v>
      </c>
      <c r="Q24" s="1">
        <f t="shared" si="2"/>
        <v>6.3572947560726189E-3</v>
      </c>
      <c r="R24" s="1">
        <f t="shared" si="2"/>
        <v>5.9628260723792962E-3</v>
      </c>
      <c r="S24" s="1">
        <f t="shared" si="2"/>
        <v>1.1449303265804562E-2</v>
      </c>
      <c r="T24" s="1">
        <f t="shared" si="2"/>
        <v>2.7554484067249838E-2</v>
      </c>
      <c r="U24" s="1">
        <f t="shared" si="2"/>
        <v>6.7701772112112535E-2</v>
      </c>
      <c r="V24" s="1">
        <f t="shared" si="2"/>
        <v>0.16329522141409913</v>
      </c>
      <c r="W24" s="1">
        <f t="shared" si="2"/>
        <v>0.38337807365850707</v>
      </c>
      <c r="X24" s="1">
        <f t="shared" si="2"/>
        <v>0.87228132814995507</v>
      </c>
      <c r="Y24" s="1">
        <f t="shared" si="2"/>
        <v>1.9149535011359293</v>
      </c>
      <c r="Z24" s="1">
        <f t="shared" si="2"/>
        <v>4.0357148206596936</v>
      </c>
      <c r="AA24" s="1">
        <f t="shared" si="2"/>
        <v>8.1156103292810986</v>
      </c>
      <c r="AB24" s="1">
        <f t="shared" si="2"/>
        <v>15.461985576697696</v>
      </c>
      <c r="AC24" s="1">
        <f t="shared" si="2"/>
        <v>27.680168048383162</v>
      </c>
      <c r="AD24" s="1">
        <f t="shared" si="2"/>
        <v>46.13874693635735</v>
      </c>
      <c r="AE24" s="1">
        <f>AE26*AF24+AE27</f>
        <v>70.958447819939266</v>
      </c>
      <c r="AF24" s="8">
        <f>AF22</f>
        <v>100</v>
      </c>
    </row>
    <row r="25" spans="1:32" x14ac:dyDescent="0.3">
      <c r="A25" s="1" t="s">
        <v>15</v>
      </c>
      <c r="B25" s="1">
        <f>-$C$11*$C$10/$C$7*B22</f>
        <v>-2485912240.1847572</v>
      </c>
      <c r="C25" s="1">
        <f>-$C$11*$C$10/$C$7*C22</f>
        <v>-1711529346.6872737</v>
      </c>
      <c r="D25" s="1">
        <f>-$C$11*$C$10/$C$7*D22</f>
        <v>-1067963622.3340435</v>
      </c>
      <c r="E25" s="1">
        <f t="shared" ref="E25:AE25" si="3">-$C$11*$C$10/$C$7*E22</f>
        <v>-610598962.00525522</v>
      </c>
      <c r="F25" s="1">
        <f t="shared" si="3"/>
        <v>-323863545.92224878</v>
      </c>
      <c r="G25" s="1">
        <f t="shared" si="3"/>
        <v>-161177271.02472126</v>
      </c>
      <c r="H25" s="1">
        <f t="shared" si="3"/>
        <v>-75991878.546996728</v>
      </c>
      <c r="I25" s="1">
        <f t="shared" si="3"/>
        <v>-34214185.619758621</v>
      </c>
      <c r="J25" s="1">
        <f t="shared" si="3"/>
        <v>-14806306.402882444</v>
      </c>
      <c r="K25" s="1">
        <f t="shared" si="3"/>
        <v>-6191598.1774423718</v>
      </c>
      <c r="L25" s="1">
        <f t="shared" si="3"/>
        <v>-2512938.1018385603</v>
      </c>
      <c r="M25" s="1">
        <f t="shared" si="3"/>
        <v>-993550.48121238593</v>
      </c>
      <c r="N25" s="1">
        <f t="shared" si="3"/>
        <v>-384025.90680458199</v>
      </c>
      <c r="O25" s="1">
        <f t="shared" si="3"/>
        <v>-146026.95144013563</v>
      </c>
      <c r="P25" s="1">
        <f t="shared" si="3"/>
        <v>-56288.476240593322</v>
      </c>
      <c r="Q25" s="1">
        <f t="shared" si="3"/>
        <v>-26264.283389306831</v>
      </c>
      <c r="R25" s="1">
        <f t="shared" si="3"/>
        <v>-25063.091800130707</v>
      </c>
      <c r="S25" s="1">
        <f t="shared" si="3"/>
        <v>-50911.777496300077</v>
      </c>
      <c r="T25" s="1">
        <f t="shared" si="3"/>
        <v>-128792.44006142605</v>
      </c>
      <c r="U25" s="1">
        <f t="shared" si="3"/>
        <v>-331455.10564783902</v>
      </c>
      <c r="V25" s="1">
        <f t="shared" si="3"/>
        <v>-837739.17074167298</v>
      </c>
      <c r="W25" s="1">
        <f t="shared" si="3"/>
        <v>-2063897.6877843749</v>
      </c>
      <c r="X25" s="1">
        <f t="shared" si="3"/>
        <v>-4935446.1125412965</v>
      </c>
      <c r="Y25" s="1">
        <f t="shared" si="3"/>
        <v>-11404732.092861759</v>
      </c>
      <c r="Z25" s="1">
        <f t="shared" si="3"/>
        <v>-25330627.359045651</v>
      </c>
      <c r="AA25" s="1">
        <f t="shared" si="3"/>
        <v>-53725757.395153686</v>
      </c>
      <c r="AB25" s="1">
        <f t="shared" si="3"/>
        <v>-107954515.43377014</v>
      </c>
      <c r="AC25" s="1">
        <f t="shared" si="3"/>
        <v>-203532987.37605381</v>
      </c>
      <c r="AD25" s="1">
        <f t="shared" si="3"/>
        <v>-355987874.12444305</v>
      </c>
      <c r="AE25" s="1">
        <f t="shared" si="3"/>
        <v>-570509782.23290586</v>
      </c>
      <c r="AF25" s="1"/>
    </row>
    <row r="26" spans="1:32" x14ac:dyDescent="0.3">
      <c r="A26" s="8" t="s">
        <v>11</v>
      </c>
      <c r="B26" s="1">
        <v>0</v>
      </c>
      <c r="C26" s="1">
        <f>$C$15/($C$16+$C$17*B26)</f>
        <v>0.24990380915736818</v>
      </c>
      <c r="D26" s="1">
        <f>$C$15/($C$16-$C$17*C26)</f>
        <v>0.26655039122165913</v>
      </c>
      <c r="E26" s="1">
        <f t="shared" ref="E26:AE26" si="4">$C$15/($C$16-$C$17*D26)</f>
        <v>0.26773838740028388</v>
      </c>
      <c r="F26" s="1">
        <f t="shared" si="4"/>
        <v>0.26782357462881679</v>
      </c>
      <c r="G26" s="1">
        <f t="shared" si="4"/>
        <v>0.26782968520273909</v>
      </c>
      <c r="H26" s="1">
        <f t="shared" si="4"/>
        <v>0.26783012353166857</v>
      </c>
      <c r="I26" s="1">
        <f t="shared" si="4"/>
        <v>0.26783015497431045</v>
      </c>
      <c r="J26" s="1">
        <f t="shared" si="4"/>
        <v>0.26783015722978526</v>
      </c>
      <c r="K26" s="1">
        <f t="shared" si="4"/>
        <v>0.26783015739157723</v>
      </c>
      <c r="L26" s="1">
        <f t="shared" si="4"/>
        <v>0.267830157403183</v>
      </c>
      <c r="M26" s="1">
        <f t="shared" si="4"/>
        <v>0.2678301574040155</v>
      </c>
      <c r="N26" s="1">
        <f t="shared" si="4"/>
        <v>0.26783015740407523</v>
      </c>
      <c r="O26" s="1">
        <f t="shared" si="4"/>
        <v>0.26783015740407956</v>
      </c>
      <c r="P26" s="1">
        <f t="shared" si="4"/>
        <v>0.26783015740407984</v>
      </c>
      <c r="Q26" s="1">
        <f t="shared" si="4"/>
        <v>0.26783015740407989</v>
      </c>
      <c r="R26" s="1">
        <f t="shared" si="4"/>
        <v>0.26783015740407989</v>
      </c>
      <c r="S26" s="1">
        <f t="shared" si="4"/>
        <v>0.26783015740407989</v>
      </c>
      <c r="T26" s="1">
        <f t="shared" si="4"/>
        <v>0.26783015740407989</v>
      </c>
      <c r="U26" s="1">
        <f t="shared" si="4"/>
        <v>0.26783015740407989</v>
      </c>
      <c r="V26" s="1">
        <f t="shared" si="4"/>
        <v>0.26783015740407989</v>
      </c>
      <c r="W26" s="1">
        <f t="shared" si="4"/>
        <v>0.26783015740407989</v>
      </c>
      <c r="X26" s="1">
        <f t="shared" si="4"/>
        <v>0.26783015740407989</v>
      </c>
      <c r="Y26" s="1">
        <f t="shared" si="4"/>
        <v>0.26783015740407989</v>
      </c>
      <c r="Z26" s="1">
        <f t="shared" si="4"/>
        <v>0.26783015740407989</v>
      </c>
      <c r="AA26" s="1">
        <f t="shared" si="4"/>
        <v>0.26783015740407989</v>
      </c>
      <c r="AB26" s="1">
        <f t="shared" si="4"/>
        <v>0.26783015740407989</v>
      </c>
      <c r="AC26" s="1">
        <f t="shared" si="4"/>
        <v>0.26783015740407989</v>
      </c>
      <c r="AD26" s="1">
        <f t="shared" si="4"/>
        <v>0.26783015740407989</v>
      </c>
      <c r="AE26" s="1">
        <f t="shared" si="4"/>
        <v>0.26783015740407989</v>
      </c>
      <c r="AF26" s="1"/>
    </row>
    <row r="27" spans="1:32" x14ac:dyDescent="0.3">
      <c r="A27" s="8" t="s">
        <v>16</v>
      </c>
      <c r="B27" s="1">
        <f>$C$13</f>
        <v>300</v>
      </c>
      <c r="C27" s="1">
        <f>(B27*$C$17-C25)/($C$16-$C$17*B26)</f>
        <v>178.28459763169636</v>
      </c>
      <c r="D27" s="1">
        <f t="shared" ref="D27:AE27" si="5">(C27*$C$17-D25)/($C$16-$C$17*C26)</f>
        <v>116.28176193922513</v>
      </c>
      <c r="E27" s="1">
        <f t="shared" si="5"/>
        <v>70.621202883540022</v>
      </c>
      <c r="F27" s="1">
        <f t="shared" si="5"/>
        <v>39.865301397199737</v>
      </c>
      <c r="G27" s="1">
        <f t="shared" si="5"/>
        <v>21.104178215605401</v>
      </c>
      <c r="H27" s="1">
        <f t="shared" si="5"/>
        <v>10.568497513265278</v>
      </c>
      <c r="I27" s="1">
        <f t="shared" si="5"/>
        <v>5.0439900168862026</v>
      </c>
      <c r="J27" s="1">
        <f t="shared" si="5"/>
        <v>2.3088010866012345</v>
      </c>
      <c r="K27" s="1">
        <f t="shared" si="5"/>
        <v>1.018921320335324</v>
      </c>
      <c r="L27" s="1">
        <f t="shared" si="5"/>
        <v>0.43546805262133209</v>
      </c>
      <c r="M27" s="1">
        <f t="shared" si="5"/>
        <v>0.18090751132242355</v>
      </c>
      <c r="N27" s="1">
        <f t="shared" si="5"/>
        <v>7.3296380727439575E-2</v>
      </c>
      <c r="O27" s="1">
        <f t="shared" si="5"/>
        <v>2.9077942875652289E-2</v>
      </c>
      <c r="P27" s="1">
        <f t="shared" si="5"/>
        <v>1.1429435875236059E-2</v>
      </c>
      <c r="Q27" s="1">
        <f t="shared" si="5"/>
        <v>4.7602701105341205E-3</v>
      </c>
      <c r="R27" s="1">
        <f t="shared" si="5"/>
        <v>2.8963573765318144E-3</v>
      </c>
      <c r="S27" s="1">
        <f t="shared" si="5"/>
        <v>4.0693814608848255E-3</v>
      </c>
      <c r="T27" s="1">
        <f t="shared" si="5"/>
        <v>9.4219077859275906E-3</v>
      </c>
      <c r="U27" s="1">
        <f t="shared" si="5"/>
        <v>2.396638725744028E-2</v>
      </c>
      <c r="V27" s="1">
        <f t="shared" si="5"/>
        <v>6.0615011600868254E-2</v>
      </c>
      <c r="W27" s="1">
        <f t="shared" si="5"/>
        <v>0.1497548282394647</v>
      </c>
      <c r="X27" s="1">
        <f t="shared" si="5"/>
        <v>0.35939903051922523</v>
      </c>
      <c r="Y27" s="1">
        <f t="shared" si="5"/>
        <v>0.83406736548066551</v>
      </c>
      <c r="Z27" s="1">
        <f t="shared" si="5"/>
        <v>1.86210962873816</v>
      </c>
      <c r="AA27" s="1">
        <f t="shared" si="5"/>
        <v>3.9744242984945419</v>
      </c>
      <c r="AB27" s="1">
        <f t="shared" si="5"/>
        <v>8.0484018113278495</v>
      </c>
      <c r="AC27" s="1">
        <f t="shared" si="5"/>
        <v>15.322820193991564</v>
      </c>
      <c r="AD27" s="1">
        <f t="shared" si="5"/>
        <v>27.133934687593825</v>
      </c>
      <c r="AE27" s="1">
        <f t="shared" si="5"/>
        <v>44.175432079531276</v>
      </c>
      <c r="AF27" s="1"/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71D3-1453-48B2-BB32-97D9A48A0AAC}">
  <sheetPr codeName="Лист4"/>
  <dimension ref="A5:AF25"/>
  <sheetViews>
    <sheetView workbookViewId="0">
      <selection activeCell="G8" sqref="G8"/>
    </sheetView>
  </sheetViews>
  <sheetFormatPr defaultRowHeight="14.4" x14ac:dyDescent="0.3"/>
  <cols>
    <col min="2" max="2" width="7.77734375" bestFit="1" customWidth="1"/>
    <col min="3" max="3" width="8.6640625" bestFit="1" customWidth="1"/>
    <col min="4" max="32" width="7.77734375" bestFit="1" customWidth="1"/>
  </cols>
  <sheetData>
    <row r="5" spans="2:4" x14ac:dyDescent="0.3">
      <c r="B5" s="3" t="s">
        <v>0</v>
      </c>
      <c r="C5" s="1">
        <v>0.1</v>
      </c>
    </row>
    <row r="6" spans="2:4" x14ac:dyDescent="0.3">
      <c r="B6" s="4" t="s">
        <v>1</v>
      </c>
      <c r="C6" s="7">
        <f>C5/30</f>
        <v>3.3333333333333335E-3</v>
      </c>
    </row>
    <row r="7" spans="2:4" x14ac:dyDescent="0.3">
      <c r="B7" s="3" t="s">
        <v>2</v>
      </c>
      <c r="C7" s="1">
        <f>(C10*C11*C6^2)/(2*C12)</f>
        <v>0.4333333333333334</v>
      </c>
    </row>
    <row r="8" spans="2:4" x14ac:dyDescent="0.3">
      <c r="B8" s="3" t="s">
        <v>3</v>
      </c>
      <c r="C8" s="1">
        <v>5000</v>
      </c>
      <c r="D8">
        <v>3.0333333333333337</v>
      </c>
    </row>
    <row r="9" spans="2:4" x14ac:dyDescent="0.3">
      <c r="B9" s="9"/>
    </row>
    <row r="10" spans="2:4" x14ac:dyDescent="0.3">
      <c r="B10" s="3" t="s">
        <v>4</v>
      </c>
      <c r="C10" s="1">
        <v>460</v>
      </c>
    </row>
    <row r="11" spans="2:4" x14ac:dyDescent="0.3">
      <c r="B11" s="3" t="s">
        <v>5</v>
      </c>
      <c r="C11" s="1">
        <v>7800</v>
      </c>
    </row>
    <row r="12" spans="2:4" x14ac:dyDescent="0.3">
      <c r="B12" s="3" t="s">
        <v>6</v>
      </c>
      <c r="C12" s="1">
        <v>46</v>
      </c>
    </row>
    <row r="13" spans="2:4" x14ac:dyDescent="0.3">
      <c r="B13" s="1"/>
      <c r="C13" s="1"/>
    </row>
    <row r="14" spans="2:4" x14ac:dyDescent="0.3">
      <c r="B14" s="1" t="s">
        <v>9</v>
      </c>
      <c r="C14" s="1">
        <v>100</v>
      </c>
    </row>
    <row r="15" spans="2:4" x14ac:dyDescent="0.3">
      <c r="B15" s="1" t="s">
        <v>19</v>
      </c>
      <c r="C15" s="1">
        <f>'неявная 2'!C9</f>
        <v>92000</v>
      </c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1">
        <f>(B25/C12)*C6+C22</f>
        <v>17.916666666666668</v>
      </c>
      <c r="C22" s="1">
        <v>11.250000000000002</v>
      </c>
      <c r="D22" s="1">
        <v>6.4062500000000009</v>
      </c>
      <c r="E22" s="1">
        <v>3.3854166666666674</v>
      </c>
      <c r="F22" s="1">
        <v>1.4583333333333335</v>
      </c>
      <c r="G22" s="1">
        <v>0.625</v>
      </c>
      <c r="H22" s="1">
        <v>0.15625</v>
      </c>
      <c r="I22" s="1">
        <v>5.2083333333333336E-2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0.78125</v>
      </c>
      <c r="Z22" s="1">
        <v>1.5625</v>
      </c>
      <c r="AA22" s="1">
        <v>7.03125</v>
      </c>
      <c r="AB22" s="1">
        <v>12.5</v>
      </c>
      <c r="AC22" s="1">
        <v>28.90625</v>
      </c>
      <c r="AD22" s="1">
        <v>45.3125</v>
      </c>
      <c r="AE22" s="1">
        <v>72.65625</v>
      </c>
      <c r="AF22" s="1">
        <f>C14</f>
        <v>100</v>
      </c>
    </row>
    <row r="23" spans="1:32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x14ac:dyDescent="0.3">
      <c r="A24" s="1" t="s">
        <v>10</v>
      </c>
      <c r="B24" s="1"/>
      <c r="C24" s="1">
        <f>C22+($C12*$C7)/($C10*$C11)*((D22-2*C22+B22)/$C6^2)</f>
        <v>12.161458333333334</v>
      </c>
      <c r="D24" s="1">
        <f t="shared" ref="D24:AE24" si="1">D22+($C12*$C7)/($C10*$C11)*((E22-2*D22+C22)/$C6^2)</f>
        <v>7.3177083333333348</v>
      </c>
      <c r="E24" s="1">
        <f t="shared" si="1"/>
        <v>3.932291666666667</v>
      </c>
      <c r="F24" s="1">
        <f t="shared" si="1"/>
        <v>2.0052083333333339</v>
      </c>
      <c r="G24" s="1">
        <f t="shared" si="1"/>
        <v>0.80729166666666674</v>
      </c>
      <c r="H24" s="1">
        <f t="shared" si="1"/>
        <v>0.33854166666666663</v>
      </c>
      <c r="I24" s="1">
        <f t="shared" si="1"/>
        <v>7.8125E-2</v>
      </c>
      <c r="J24" s="1">
        <f t="shared" si="1"/>
        <v>2.6041666666666668E-2</v>
      </c>
      <c r="K24" s="1">
        <f t="shared" si="1"/>
        <v>0</v>
      </c>
      <c r="L24" s="1">
        <f t="shared" si="1"/>
        <v>0</v>
      </c>
      <c r="M24" s="1">
        <f t="shared" si="1"/>
        <v>0</v>
      </c>
      <c r="N24" s="1">
        <f t="shared" si="1"/>
        <v>0</v>
      </c>
      <c r="O24" s="1">
        <f t="shared" si="1"/>
        <v>0</v>
      </c>
      <c r="P24" s="1">
        <f t="shared" si="1"/>
        <v>0</v>
      </c>
      <c r="Q24" s="1">
        <f t="shared" si="1"/>
        <v>0</v>
      </c>
      <c r="R24" s="1">
        <f t="shared" si="1"/>
        <v>0</v>
      </c>
      <c r="S24" s="1">
        <f t="shared" si="1"/>
        <v>0</v>
      </c>
      <c r="T24" s="1">
        <f t="shared" si="1"/>
        <v>0</v>
      </c>
      <c r="U24" s="1">
        <f t="shared" si="1"/>
        <v>0</v>
      </c>
      <c r="V24" s="1">
        <f t="shared" si="1"/>
        <v>0</v>
      </c>
      <c r="W24" s="1">
        <f t="shared" si="1"/>
        <v>0</v>
      </c>
      <c r="X24" s="1">
        <f t="shared" si="1"/>
        <v>0.390625</v>
      </c>
      <c r="Y24" s="1">
        <f t="shared" si="1"/>
        <v>0.78125</v>
      </c>
      <c r="Z24" s="1">
        <f t="shared" si="1"/>
        <v>3.90625</v>
      </c>
      <c r="AA24" s="1">
        <f t="shared" si="1"/>
        <v>7.03125</v>
      </c>
      <c r="AB24" s="1">
        <f t="shared" si="1"/>
        <v>17.96875</v>
      </c>
      <c r="AC24" s="1">
        <f t="shared" si="1"/>
        <v>28.90625</v>
      </c>
      <c r="AD24" s="1">
        <f t="shared" si="1"/>
        <v>50.78125</v>
      </c>
      <c r="AE24" s="1">
        <f t="shared" si="1"/>
        <v>72.65625</v>
      </c>
      <c r="AF24" s="1"/>
    </row>
    <row r="25" spans="1:32" x14ac:dyDescent="0.3">
      <c r="A25" s="1" t="s">
        <v>17</v>
      </c>
      <c r="B25" s="1">
        <f>C15</f>
        <v>92000</v>
      </c>
      <c r="C25" s="1">
        <f>-$C$12*((C22-B22)/$C$6)</f>
        <v>91999.999999999985</v>
      </c>
      <c r="D25" s="1">
        <f t="shared" ref="D25:AF25" si="2">-$C$12*((D22-C22)/$C$6)</f>
        <v>66843.750000000015</v>
      </c>
      <c r="E25" s="1">
        <f t="shared" si="2"/>
        <v>41687.5</v>
      </c>
      <c r="F25" s="1">
        <f t="shared" si="2"/>
        <v>26593.750000000004</v>
      </c>
      <c r="G25" s="1">
        <f t="shared" si="2"/>
        <v>11500.000000000002</v>
      </c>
      <c r="H25" s="1">
        <f t="shared" si="2"/>
        <v>6468.75</v>
      </c>
      <c r="I25" s="1">
        <f t="shared" si="2"/>
        <v>1437.4999999999998</v>
      </c>
      <c r="J25" s="1">
        <f t="shared" si="2"/>
        <v>718.75</v>
      </c>
      <c r="K25" s="1">
        <f t="shared" si="2"/>
        <v>0</v>
      </c>
      <c r="L25" s="1">
        <f t="shared" si="2"/>
        <v>0</v>
      </c>
      <c r="M25" s="1">
        <f t="shared" si="2"/>
        <v>0</v>
      </c>
      <c r="N25" s="1">
        <f t="shared" si="2"/>
        <v>0</v>
      </c>
      <c r="O25" s="1">
        <f t="shared" si="2"/>
        <v>0</v>
      </c>
      <c r="P25" s="1">
        <f t="shared" si="2"/>
        <v>0</v>
      </c>
      <c r="Q25" s="1">
        <f t="shared" si="2"/>
        <v>0</v>
      </c>
      <c r="R25" s="1">
        <f t="shared" si="2"/>
        <v>0</v>
      </c>
      <c r="S25" s="1">
        <f t="shared" si="2"/>
        <v>0</v>
      </c>
      <c r="T25" s="1">
        <f t="shared" si="2"/>
        <v>0</v>
      </c>
      <c r="U25" s="1">
        <f t="shared" si="2"/>
        <v>0</v>
      </c>
      <c r="V25" s="1">
        <f t="shared" si="2"/>
        <v>0</v>
      </c>
      <c r="W25" s="1">
        <f t="shared" si="2"/>
        <v>0</v>
      </c>
      <c r="X25" s="1">
        <f t="shared" si="2"/>
        <v>0</v>
      </c>
      <c r="Y25" s="1">
        <f t="shared" si="2"/>
        <v>-10781.249999999998</v>
      </c>
      <c r="Z25" s="1">
        <f t="shared" si="2"/>
        <v>-10781.249999999998</v>
      </c>
      <c r="AA25" s="1">
        <f t="shared" si="2"/>
        <v>-75468.75</v>
      </c>
      <c r="AB25" s="1">
        <f t="shared" si="2"/>
        <v>-75468.75</v>
      </c>
      <c r="AC25" s="1">
        <f t="shared" si="2"/>
        <v>-226406.25</v>
      </c>
      <c r="AD25" s="1">
        <f t="shared" si="2"/>
        <v>-226406.25</v>
      </c>
      <c r="AE25" s="1">
        <f t="shared" si="2"/>
        <v>-377343.75</v>
      </c>
      <c r="AF25" s="1">
        <f t="shared" si="2"/>
        <v>-377343.75</v>
      </c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неявная схема</vt:lpstr>
      <vt:lpstr>явная схема</vt:lpstr>
      <vt:lpstr>неявная 2</vt:lpstr>
      <vt:lpstr>явная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Олег Столь</cp:lastModifiedBy>
  <dcterms:created xsi:type="dcterms:W3CDTF">2021-02-19T10:01:56Z</dcterms:created>
  <dcterms:modified xsi:type="dcterms:W3CDTF">2021-03-18T17:13:49Z</dcterms:modified>
</cp:coreProperties>
</file>