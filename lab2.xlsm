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Олег\Desktop\"/>
    </mc:Choice>
  </mc:AlternateContent>
  <xr:revisionPtr revIDLastSave="0" documentId="13_ncr:1_{FD92673B-3142-41E7-A707-C0978DAA9F0D}" xr6:coauthVersionLast="45" xr6:coauthVersionMax="45" xr10:uidLastSave="{00000000-0000-0000-0000-000000000000}"/>
  <bookViews>
    <workbookView xWindow="-28908" yWindow="-108" windowWidth="29016" windowHeight="15696" xr2:uid="{82948F11-3C60-4337-917F-0EFFF7BFEEA3}"/>
  </bookViews>
  <sheets>
    <sheet name="неявная схема" sheetId="1" r:id="rId1"/>
    <sheet name="явная схема" sheetId="5" r:id="rId2"/>
    <sheet name="неявная 2" sheetId="6" r:id="rId3"/>
    <sheet name="явная 2" sheetId="7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6" l="1"/>
  <c r="C14" i="7" l="1"/>
  <c r="B22" i="7"/>
  <c r="C15" i="7"/>
  <c r="AC25" i="7"/>
  <c r="Y25" i="7"/>
  <c r="U25" i="7"/>
  <c r="Q25" i="7"/>
  <c r="M25" i="7"/>
  <c r="I25" i="7"/>
  <c r="E25" i="7"/>
  <c r="B25" i="7"/>
  <c r="AF22" i="7"/>
  <c r="AF25" i="7" s="1"/>
  <c r="C21" i="7"/>
  <c r="D21" i="7" s="1"/>
  <c r="E21" i="7" s="1"/>
  <c r="F21" i="7" s="1"/>
  <c r="G21" i="7" s="1"/>
  <c r="H21" i="7" s="1"/>
  <c r="I21" i="7" s="1"/>
  <c r="J21" i="7" s="1"/>
  <c r="K21" i="7" s="1"/>
  <c r="L21" i="7" s="1"/>
  <c r="M21" i="7" s="1"/>
  <c r="N21" i="7" s="1"/>
  <c r="O21" i="7" s="1"/>
  <c r="P21" i="7" s="1"/>
  <c r="Q21" i="7" s="1"/>
  <c r="R21" i="7" s="1"/>
  <c r="S21" i="7" s="1"/>
  <c r="T21" i="7" s="1"/>
  <c r="U21" i="7" s="1"/>
  <c r="V21" i="7" s="1"/>
  <c r="W21" i="7" s="1"/>
  <c r="X21" i="7" s="1"/>
  <c r="Y21" i="7" s="1"/>
  <c r="Z21" i="7" s="1"/>
  <c r="AA21" i="7" s="1"/>
  <c r="AB21" i="7" s="1"/>
  <c r="AC21" i="7" s="1"/>
  <c r="AD21" i="7" s="1"/>
  <c r="AE21" i="7" s="1"/>
  <c r="AF21" i="7" s="1"/>
  <c r="C6" i="7"/>
  <c r="AB25" i="7" s="1"/>
  <c r="D23" i="6"/>
  <c r="E23" i="6"/>
  <c r="F23" i="6"/>
  <c r="G23" i="6"/>
  <c r="H23" i="6"/>
  <c r="I23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B23" i="6"/>
  <c r="B27" i="6"/>
  <c r="AE25" i="6"/>
  <c r="AD25" i="6"/>
  <c r="AC25" i="6"/>
  <c r="AB25" i="6"/>
  <c r="AA25" i="6"/>
  <c r="Z25" i="6"/>
  <c r="Y25" i="6"/>
  <c r="X25" i="6"/>
  <c r="W25" i="6"/>
  <c r="V25" i="6"/>
  <c r="U25" i="6"/>
  <c r="T25" i="6"/>
  <c r="S25" i="6"/>
  <c r="R25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AF24" i="6"/>
  <c r="AF22" i="6"/>
  <c r="C17" i="6"/>
  <c r="C16" i="6"/>
  <c r="C6" i="6"/>
  <c r="C21" i="6" s="1"/>
  <c r="D21" i="6" s="1"/>
  <c r="E21" i="6" s="1"/>
  <c r="F21" i="6" s="1"/>
  <c r="G21" i="6" s="1"/>
  <c r="H21" i="6" s="1"/>
  <c r="I21" i="6" s="1"/>
  <c r="J21" i="6" s="1"/>
  <c r="K21" i="6" s="1"/>
  <c r="L21" i="6" s="1"/>
  <c r="M21" i="6" s="1"/>
  <c r="N21" i="6" s="1"/>
  <c r="O21" i="6" s="1"/>
  <c r="P21" i="6" s="1"/>
  <c r="Q21" i="6" s="1"/>
  <c r="R21" i="6" s="1"/>
  <c r="S21" i="6" s="1"/>
  <c r="T21" i="6" s="1"/>
  <c r="U21" i="6" s="1"/>
  <c r="V21" i="6" s="1"/>
  <c r="W21" i="6" s="1"/>
  <c r="X21" i="6" s="1"/>
  <c r="Y21" i="6" s="1"/>
  <c r="Z21" i="6" s="1"/>
  <c r="AA21" i="6" s="1"/>
  <c r="AB21" i="6" s="1"/>
  <c r="AC21" i="6" s="1"/>
  <c r="AD21" i="6" s="1"/>
  <c r="AE21" i="6" s="1"/>
  <c r="AF21" i="6" s="1"/>
  <c r="E2" i="6"/>
  <c r="C16" i="1"/>
  <c r="C17" i="1"/>
  <c r="F25" i="7" l="1"/>
  <c r="J25" i="7"/>
  <c r="N25" i="7"/>
  <c r="R25" i="7"/>
  <c r="V25" i="7"/>
  <c r="Z25" i="7"/>
  <c r="AD25" i="7"/>
  <c r="C25" i="7"/>
  <c r="G25" i="7"/>
  <c r="K25" i="7"/>
  <c r="O25" i="7"/>
  <c r="S25" i="7"/>
  <c r="W25" i="7"/>
  <c r="AA25" i="7"/>
  <c r="AE25" i="7"/>
  <c r="C7" i="7"/>
  <c r="D25" i="7"/>
  <c r="H25" i="7"/>
  <c r="L25" i="7"/>
  <c r="P25" i="7"/>
  <c r="T25" i="7"/>
  <c r="X25" i="7"/>
  <c r="C27" i="6"/>
  <c r="C15" i="6"/>
  <c r="AD24" i="7" l="1"/>
  <c r="Z24" i="7"/>
  <c r="V24" i="7"/>
  <c r="R24" i="7"/>
  <c r="N24" i="7"/>
  <c r="J24" i="7"/>
  <c r="F24" i="7"/>
  <c r="AA24" i="7"/>
  <c r="S24" i="7"/>
  <c r="K24" i="7"/>
  <c r="AC24" i="7"/>
  <c r="Y24" i="7"/>
  <c r="U24" i="7"/>
  <c r="Q24" i="7"/>
  <c r="M24" i="7"/>
  <c r="I24" i="7"/>
  <c r="E24" i="7"/>
  <c r="W24" i="7"/>
  <c r="C24" i="7"/>
  <c r="AB24" i="7"/>
  <c r="X24" i="7"/>
  <c r="T24" i="7"/>
  <c r="P24" i="7"/>
  <c r="L24" i="7"/>
  <c r="H24" i="7"/>
  <c r="D24" i="7"/>
  <c r="AE24" i="7"/>
  <c r="O24" i="7"/>
  <c r="G24" i="7"/>
  <c r="C26" i="6"/>
  <c r="D27" i="6"/>
  <c r="D26" i="6" l="1"/>
  <c r="E26" i="6" l="1"/>
  <c r="E27" i="6"/>
  <c r="F27" i="6" s="1"/>
  <c r="F26" i="6" l="1"/>
  <c r="G26" i="6" l="1"/>
  <c r="G27" i="6"/>
  <c r="H27" i="6" s="1"/>
  <c r="C15" i="1"/>
  <c r="H26" i="6" l="1"/>
  <c r="I27" i="6" s="1"/>
  <c r="D25" i="1"/>
  <c r="C25" i="1"/>
  <c r="C27" i="1" s="1"/>
  <c r="C14" i="5"/>
  <c r="AF22" i="5" s="1"/>
  <c r="AE24" i="5" s="1"/>
  <c r="C13" i="5"/>
  <c r="C2" i="1"/>
  <c r="C8" i="5"/>
  <c r="C7" i="5"/>
  <c r="AB24" i="5" s="1"/>
  <c r="AC24" i="5"/>
  <c r="AA24" i="5"/>
  <c r="Y24" i="5"/>
  <c r="X24" i="5"/>
  <c r="W24" i="5"/>
  <c r="U24" i="5"/>
  <c r="T24" i="5"/>
  <c r="S24" i="5"/>
  <c r="Q24" i="5"/>
  <c r="P24" i="5"/>
  <c r="O24" i="5"/>
  <c r="M24" i="5"/>
  <c r="L24" i="5"/>
  <c r="K24" i="5"/>
  <c r="I24" i="5"/>
  <c r="H24" i="5"/>
  <c r="G24" i="5"/>
  <c r="E24" i="5"/>
  <c r="D24" i="5"/>
  <c r="B22" i="5"/>
  <c r="C24" i="5" s="1"/>
  <c r="C21" i="5"/>
  <c r="D21" i="5" s="1"/>
  <c r="E21" i="5" s="1"/>
  <c r="F21" i="5" s="1"/>
  <c r="G21" i="5" s="1"/>
  <c r="H21" i="5" s="1"/>
  <c r="I21" i="5" s="1"/>
  <c r="J21" i="5" s="1"/>
  <c r="K21" i="5" s="1"/>
  <c r="L21" i="5" s="1"/>
  <c r="M21" i="5" s="1"/>
  <c r="N21" i="5" s="1"/>
  <c r="O21" i="5" s="1"/>
  <c r="P21" i="5" s="1"/>
  <c r="Q21" i="5" s="1"/>
  <c r="R21" i="5" s="1"/>
  <c r="S21" i="5" s="1"/>
  <c r="T21" i="5" s="1"/>
  <c r="U21" i="5" s="1"/>
  <c r="V21" i="5" s="1"/>
  <c r="W21" i="5" s="1"/>
  <c r="X21" i="5" s="1"/>
  <c r="Y21" i="5" s="1"/>
  <c r="Z21" i="5" s="1"/>
  <c r="AA21" i="5" s="1"/>
  <c r="AB21" i="5" s="1"/>
  <c r="AC21" i="5" s="1"/>
  <c r="AD21" i="5" s="1"/>
  <c r="AE21" i="5" s="1"/>
  <c r="AF21" i="5" s="1"/>
  <c r="C6" i="5"/>
  <c r="AD24" i="5" s="1"/>
  <c r="E2" i="5"/>
  <c r="I26" i="6" l="1"/>
  <c r="J27" i="6" s="1"/>
  <c r="F24" i="5"/>
  <c r="J24" i="5"/>
  <c r="N24" i="5"/>
  <c r="R24" i="5"/>
  <c r="V24" i="5"/>
  <c r="Z24" i="5"/>
  <c r="J26" i="6" l="1"/>
  <c r="AF24" i="1"/>
  <c r="B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B27" i="1"/>
  <c r="C26" i="1"/>
  <c r="K26" i="6" l="1"/>
  <c r="K27" i="6"/>
  <c r="L27" i="6" s="1"/>
  <c r="D27" i="1"/>
  <c r="D26" i="1"/>
  <c r="E26" i="1" s="1"/>
  <c r="F26" i="1" s="1"/>
  <c r="G26" i="1" s="1"/>
  <c r="H26" i="1" s="1"/>
  <c r="I26" i="1" s="1"/>
  <c r="J26" i="1" s="1"/>
  <c r="K26" i="1" s="1"/>
  <c r="L26" i="1" s="1"/>
  <c r="M26" i="1" s="1"/>
  <c r="N26" i="1" s="1"/>
  <c r="O26" i="1" s="1"/>
  <c r="P26" i="1" s="1"/>
  <c r="Q26" i="1" s="1"/>
  <c r="R26" i="1" s="1"/>
  <c r="S26" i="1" s="1"/>
  <c r="T26" i="1" s="1"/>
  <c r="U26" i="1" s="1"/>
  <c r="V26" i="1" s="1"/>
  <c r="W26" i="1" s="1"/>
  <c r="X26" i="1" s="1"/>
  <c r="Y26" i="1" s="1"/>
  <c r="Z26" i="1" s="1"/>
  <c r="AA26" i="1" s="1"/>
  <c r="AB26" i="1" s="1"/>
  <c r="AC26" i="1" s="1"/>
  <c r="AD26" i="1" s="1"/>
  <c r="AE26" i="1" s="1"/>
  <c r="L26" i="6" l="1"/>
  <c r="E27" i="1"/>
  <c r="F27" i="1" s="1"/>
  <c r="G27" i="1" s="1"/>
  <c r="H27" i="1" s="1"/>
  <c r="M26" i="6" l="1"/>
  <c r="M27" i="6"/>
  <c r="N27" i="6" s="1"/>
  <c r="I27" i="1"/>
  <c r="J27" i="1" s="1"/>
  <c r="N26" i="6" l="1"/>
  <c r="AF22" i="1"/>
  <c r="O26" i="6" l="1"/>
  <c r="O27" i="6"/>
  <c r="P27" i="6" s="1"/>
  <c r="K27" i="1"/>
  <c r="L27" i="1" s="1"/>
  <c r="B22" i="1"/>
  <c r="D21" i="1"/>
  <c r="E21" i="1" s="1"/>
  <c r="F21" i="1" s="1"/>
  <c r="G21" i="1" s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C21" i="1"/>
  <c r="C6" i="1"/>
  <c r="P26" i="6" l="1"/>
  <c r="C18" i="1"/>
  <c r="Q26" i="6" l="1"/>
  <c r="Q27" i="6"/>
  <c r="R27" i="6" s="1"/>
  <c r="M27" i="1"/>
  <c r="N27" i="1" s="1"/>
  <c r="R26" i="6" l="1"/>
  <c r="S27" i="6" s="1"/>
  <c r="O27" i="1"/>
  <c r="P27" i="1" s="1"/>
  <c r="S26" i="6" l="1"/>
  <c r="Q27" i="1"/>
  <c r="R27" i="1" s="1"/>
  <c r="T26" i="6" l="1"/>
  <c r="T27" i="6"/>
  <c r="U27" i="6" s="1"/>
  <c r="S27" i="1"/>
  <c r="T27" i="1" s="1"/>
  <c r="U26" i="6" l="1"/>
  <c r="U27" i="1"/>
  <c r="V27" i="1" s="1"/>
  <c r="V26" i="6" l="1"/>
  <c r="V27" i="6"/>
  <c r="W27" i="6" s="1"/>
  <c r="W27" i="1"/>
  <c r="X27" i="1" s="1"/>
  <c r="W26" i="6" l="1"/>
  <c r="Y27" i="1"/>
  <c r="Z27" i="1" s="1"/>
  <c r="X26" i="6" l="1"/>
  <c r="X27" i="6"/>
  <c r="Y27" i="6" s="1"/>
  <c r="AA27" i="1"/>
  <c r="AB27" i="1" s="1"/>
  <c r="Y26" i="6" l="1"/>
  <c r="AC27" i="1"/>
  <c r="AD27" i="1" s="1"/>
  <c r="Z26" i="6" l="1"/>
  <c r="Z27" i="6"/>
  <c r="AA27" i="6" s="1"/>
  <c r="AE27" i="1"/>
  <c r="AE24" i="1" s="1"/>
  <c r="AD24" i="1" s="1"/>
  <c r="AC24" i="1" s="1"/>
  <c r="AB24" i="1" s="1"/>
  <c r="AA24" i="1" s="1"/>
  <c r="Z24" i="1" s="1"/>
  <c r="Y24" i="1" s="1"/>
  <c r="X24" i="1" s="1"/>
  <c r="W24" i="1" s="1"/>
  <c r="V24" i="1" s="1"/>
  <c r="U24" i="1" s="1"/>
  <c r="T24" i="1" s="1"/>
  <c r="S24" i="1" s="1"/>
  <c r="R24" i="1" s="1"/>
  <c r="Q24" i="1" s="1"/>
  <c r="P24" i="1" s="1"/>
  <c r="O24" i="1" s="1"/>
  <c r="N24" i="1" s="1"/>
  <c r="M24" i="1" s="1"/>
  <c r="L24" i="1" s="1"/>
  <c r="K24" i="1" s="1"/>
  <c r="J24" i="1" s="1"/>
  <c r="I24" i="1" s="1"/>
  <c r="H24" i="1" s="1"/>
  <c r="G24" i="1" s="1"/>
  <c r="F24" i="1" s="1"/>
  <c r="E24" i="1" s="1"/>
  <c r="D24" i="1" s="1"/>
  <c r="C24" i="1" s="1"/>
  <c r="AA26" i="6" l="1"/>
  <c r="AB27" i="6" s="1"/>
  <c r="AB26" i="6" l="1"/>
  <c r="AC26" i="6" l="1"/>
  <c r="AC27" i="6"/>
  <c r="AD27" i="6" s="1"/>
  <c r="AD26" i="6" l="1"/>
  <c r="AE26" i="6" l="1"/>
  <c r="AE27" i="6"/>
  <c r="AE24" i="6" l="1"/>
  <c r="AD24" i="6" s="1"/>
  <c r="AC24" i="6" s="1"/>
  <c r="AB24" i="6" s="1"/>
  <c r="AA24" i="6" s="1"/>
  <c r="Z24" i="6" s="1"/>
  <c r="Y24" i="6" s="1"/>
  <c r="X24" i="6" s="1"/>
  <c r="W24" i="6" s="1"/>
  <c r="V24" i="6" s="1"/>
  <c r="U24" i="6" s="1"/>
  <c r="T24" i="6" s="1"/>
  <c r="S24" i="6" s="1"/>
  <c r="R24" i="6" s="1"/>
  <c r="Q24" i="6" s="1"/>
  <c r="P24" i="6" s="1"/>
  <c r="O24" i="6" s="1"/>
  <c r="N24" i="6" s="1"/>
  <c r="M24" i="6" s="1"/>
  <c r="L24" i="6" s="1"/>
  <c r="K24" i="6" s="1"/>
  <c r="J24" i="6" s="1"/>
  <c r="I24" i="6" s="1"/>
  <c r="H24" i="6" s="1"/>
  <c r="G24" i="6" s="1"/>
  <c r="F24" i="6" s="1"/>
  <c r="E24" i="6" s="1"/>
  <c r="D24" i="6" s="1"/>
  <c r="C24" i="6" s="1"/>
  <c r="C18" i="6"/>
  <c r="B25" i="6"/>
  <c r="C23" i="6"/>
</calcChain>
</file>

<file path=xl/sharedStrings.xml><?xml version="1.0" encoding="utf-8"?>
<sst xmlns="http://schemas.openxmlformats.org/spreadsheetml/2006/main" count="79" uniqueCount="34">
  <si>
    <t>L</t>
  </si>
  <si>
    <t>dx</t>
  </si>
  <si>
    <t>dt</t>
  </si>
  <si>
    <t>t</t>
  </si>
  <si>
    <t>Cp</t>
  </si>
  <si>
    <t>ro</t>
  </si>
  <si>
    <t>lambda</t>
  </si>
  <si>
    <t>T</t>
  </si>
  <si>
    <t>T1</t>
  </si>
  <si>
    <t>T2</t>
  </si>
  <si>
    <t>T_iter</t>
  </si>
  <si>
    <t>alpha</t>
  </si>
  <si>
    <t>A</t>
  </si>
  <si>
    <t>B</t>
  </si>
  <si>
    <t>C</t>
  </si>
  <si>
    <t>F</t>
  </si>
  <si>
    <t>betta</t>
  </si>
  <si>
    <t>q</t>
  </si>
  <si>
    <t>q_start</t>
  </si>
  <si>
    <t>q1</t>
  </si>
  <si>
    <t>Гайд по макросам:</t>
  </si>
  <si>
    <t>nill</t>
  </si>
  <si>
    <t>для упрощения, зануляет значения температур в узлах выбранного листа</t>
  </si>
  <si>
    <t>iterat_both_1</t>
  </si>
  <si>
    <t>iterat_both_2</t>
  </si>
  <si>
    <t>проводит итерации на двух схемах для ГУ 1 рода</t>
  </si>
  <si>
    <t>проводит итерации на двух схемах для ГУ 2 рода</t>
  </si>
  <si>
    <t>Сочет. клавиш</t>
  </si>
  <si>
    <t>ctrl+i</t>
  </si>
  <si>
    <t>iterat</t>
  </si>
  <si>
    <t>проводит итерации на выбранном листе</t>
  </si>
  <si>
    <t>ctrl+n</t>
  </si>
  <si>
    <t>ctrl+o</t>
  </si>
  <si>
    <t>ctrl+t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</si>
</sst>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1" fillId="0" borderId="1" xfId="0" applyFont="1" applyBorder="1"/>
    <xf numFmtId="0" fontId="1" fillId="0" borderId="2" xfId="0" applyFont="1" applyBorder="1"/>
    <xf numFmtId="0" fontId="0" fillId="0" borderId="0" xfId="0" applyBorder="1"/>
    <xf numFmtId="0" fontId="1" fillId="0" borderId="0" xfId="0" applyFont="1" applyBorder="1"/>
    <xf numFmtId="165" fontId="0" fillId="0" borderId="2" xfId="0" applyNumberFormat="1" applyBorder="1"/>
    <xf numFmtId="0" fontId="0" fillId="0" borderId="1" xfId="0" applyFill="1" applyBorder="1"/>
    <xf numFmtId="0" fontId="1" fillId="0" borderId="0" xfId="0" applyFont="1"/>
    <xf numFmtId="0" fontId="0" fillId="2" borderId="0" xfId="0" applyFill="1"/>
    <xf numFmtId="0" fontId="0" fillId="0" borderId="1" xfId="0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marker>
            <c:symbol val="none"/>
          </c:marker>
          <c:xVal>
            <c:numRef>
              <c:f>'неявная схема'!$B$21:$AF$21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схема'!$B$22:$AF$22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EFE-4DF9-B966-DB0E6FAE3C61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схема'!$B$21:$AF$21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схема'!$B$22:$AF$22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FE-4DF9-B966-DB0E6FAE3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L,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2400">
                    <a:solidFill>
                      <a:schemeClr val="tx1"/>
                    </a:solidFill>
                  </a:rPr>
                  <a:t>Т, </a:t>
                </a:r>
                <a:r>
                  <a:rPr lang="ru-RU" sz="2400" b="0" i="0" u="none" strike="noStrike" baseline="0">
                    <a:solidFill>
                      <a:schemeClr val="tx1"/>
                    </a:solidFill>
                    <a:effectLst/>
                  </a:rPr>
                  <a:t>°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схема'!$B$21:$AF$21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схема'!$B$22:$AF$22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0F-4C49-83C0-752632C54D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L,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2400">
                    <a:solidFill>
                      <a:schemeClr val="tx1"/>
                    </a:solidFill>
                  </a:rPr>
                  <a:t>Т, </a:t>
                </a:r>
                <a:r>
                  <a:rPr lang="ru-RU" sz="2400" b="0" i="0" u="none" strike="noStrike" baseline="0">
                    <a:solidFill>
                      <a:schemeClr val="tx1"/>
                    </a:solidFill>
                    <a:effectLst/>
                  </a:rPr>
                  <a:t>°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marker>
            <c:symbol val="none"/>
          </c:marker>
          <c:xVal>
            <c:numRef>
              <c:f>'неявная 2'!$B$21:$AF$21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2'!$B$22:$AF$22</c:f>
              <c:numCache>
                <c:formatCode>General</c:formatCode>
                <c:ptCount val="31"/>
                <c:pt idx="0">
                  <c:v>6.666666666666667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E6-4C7B-B47F-449D1BF64F1D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'явная 2'!$B$21:$AF$21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2'!$B$22:$AF$22</c:f>
              <c:numCache>
                <c:formatCode>General</c:formatCode>
                <c:ptCount val="31"/>
                <c:pt idx="0">
                  <c:v>6.666666666666667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E6-4C7B-B47F-449D1BF64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L,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2400">
                    <a:solidFill>
                      <a:schemeClr val="tx1"/>
                    </a:solidFill>
                  </a:rPr>
                  <a:t>Т, </a:t>
                </a:r>
                <a:r>
                  <a:rPr lang="ru-RU" sz="2400" b="0" i="0" u="none" strike="noStrike" baseline="0">
                    <a:solidFill>
                      <a:schemeClr val="tx1"/>
                    </a:solidFill>
                    <a:effectLst/>
                  </a:rPr>
                  <a:t>°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894124532463839"/>
          <c:y val="2.1085682140180868E-2"/>
          <c:w val="0.80357971335252709"/>
          <c:h val="0.72169952623339373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[1]Лист2!$B$21:$AF$21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[1]Лист2!$B$22:$AF$22</c:f>
              <c:numCache>
                <c:formatCode>General</c:formatCode>
                <c:ptCount val="31"/>
                <c:pt idx="0">
                  <c:v>6.666666666666667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D7-4D17-858C-94BFBFD85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L,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2400">
                    <a:solidFill>
                      <a:schemeClr val="tx1"/>
                    </a:solidFill>
                  </a:rPr>
                  <a:t>Т, </a:t>
                </a:r>
                <a:r>
                  <a:rPr lang="ru-RU" sz="2400" b="0" i="0" u="none" strike="noStrike" baseline="0">
                    <a:solidFill>
                      <a:schemeClr val="tx1"/>
                    </a:solidFill>
                    <a:effectLst/>
                  </a:rPr>
                  <a:t>°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894124532463839"/>
          <c:y val="2.1085682140180868E-2"/>
          <c:w val="0.80357971335252709"/>
          <c:h val="0.72169952623339373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'явная 2'!$B$21:$AF$21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2'!$B$22:$AF$22</c:f>
              <c:numCache>
                <c:formatCode>General</c:formatCode>
                <c:ptCount val="31"/>
                <c:pt idx="0">
                  <c:v>6.666666666666667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CC-48BD-A067-F82CAEBBA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L,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2400">
                    <a:solidFill>
                      <a:schemeClr val="tx1"/>
                    </a:solidFill>
                  </a:rPr>
                  <a:t>Т, </a:t>
                </a:r>
                <a:r>
                  <a:rPr lang="ru-RU" sz="2400" b="0" i="0" u="none" strike="noStrike" baseline="0">
                    <a:solidFill>
                      <a:schemeClr val="tx1"/>
                    </a:solidFill>
                    <a:effectLst/>
                  </a:rPr>
                  <a:t>°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466726</xdr:colOff>
      <xdr:row>27</xdr:row>
      <xdr:rowOff>142875</xdr:rowOff>
    </xdr:from>
    <xdr:to>
      <xdr:col>20</xdr:col>
      <xdr:colOff>495300</xdr:colOff>
      <xdr:row>59</xdr:row>
      <xdr:rowOff>76200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2646EA6A-B16F-401C-B224-916F7853EA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468084</xdr:colOff>
      <xdr:row>0</xdr:row>
      <xdr:rowOff>157842</xdr:rowOff>
    </xdr:from>
    <xdr:to>
      <xdr:col>17</xdr:col>
      <xdr:colOff>533399</xdr:colOff>
      <xdr:row>18</xdr:row>
      <xdr:rowOff>174171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F450A09-883B-43FE-A99E-F4FEA34662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449580</xdr:colOff>
      <xdr:row>27</xdr:row>
      <xdr:rowOff>137160</xdr:rowOff>
    </xdr:from>
    <xdr:to>
      <xdr:col>19</xdr:col>
      <xdr:colOff>478154</xdr:colOff>
      <xdr:row>59</xdr:row>
      <xdr:rowOff>178858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DF9CAC0D-3789-4B1A-9578-4110E4C5C3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468084</xdr:colOff>
      <xdr:row>0</xdr:row>
      <xdr:rowOff>157842</xdr:rowOff>
    </xdr:from>
    <xdr:to>
      <xdr:col>17</xdr:col>
      <xdr:colOff>533399</xdr:colOff>
      <xdr:row>18</xdr:row>
      <xdr:rowOff>174171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26BFFFED-E68C-4EA2-8323-4413D3DF83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468084</xdr:colOff>
      <xdr:row>0</xdr:row>
      <xdr:rowOff>157842</xdr:rowOff>
    </xdr:from>
    <xdr:to>
      <xdr:col>17</xdr:col>
      <xdr:colOff>533399</xdr:colOff>
      <xdr:row>18</xdr:row>
      <xdr:rowOff>174171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969C1014-C606-464A-AB11-C001F68351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ab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Лист2"/>
      <sheetName val="Лист3"/>
    </sheetNames>
    <sheetDataSet>
      <sheetData sheetId="0"/>
      <sheetData sheetId="1">
        <row r="21">
          <cell r="B21">
            <v>0</v>
          </cell>
          <cell r="C21">
            <v>3.3333333333333335E-3</v>
          </cell>
          <cell r="D21">
            <v>6.6666666666666671E-3</v>
          </cell>
          <cell r="E21">
            <v>0.01</v>
          </cell>
          <cell r="F21">
            <v>1.3333333333333334E-2</v>
          </cell>
          <cell r="G21">
            <v>1.6666666666666666E-2</v>
          </cell>
          <cell r="H21">
            <v>0.02</v>
          </cell>
          <cell r="I21">
            <v>2.3333333333333334E-2</v>
          </cell>
          <cell r="J21">
            <v>2.6666666666666668E-2</v>
          </cell>
          <cell r="K21">
            <v>3.0000000000000002E-2</v>
          </cell>
          <cell r="L21">
            <v>3.3333333333333333E-2</v>
          </cell>
          <cell r="M21">
            <v>3.6666666666666667E-2</v>
          </cell>
          <cell r="N21">
            <v>0.04</v>
          </cell>
          <cell r="O21">
            <v>4.3333333333333335E-2</v>
          </cell>
          <cell r="P21">
            <v>4.6666666666666669E-2</v>
          </cell>
          <cell r="Q21">
            <v>0.05</v>
          </cell>
          <cell r="R21">
            <v>5.3333333333333337E-2</v>
          </cell>
          <cell r="S21">
            <v>5.6666666666666671E-2</v>
          </cell>
          <cell r="T21">
            <v>6.0000000000000005E-2</v>
          </cell>
          <cell r="U21">
            <v>6.3333333333333339E-2</v>
          </cell>
          <cell r="V21">
            <v>6.6666666666666666E-2</v>
          </cell>
          <cell r="W21">
            <v>6.9999999999999993E-2</v>
          </cell>
          <cell r="X21">
            <v>7.333333333333332E-2</v>
          </cell>
          <cell r="Y21">
            <v>7.6666666666666647E-2</v>
          </cell>
          <cell r="Z21">
            <v>7.9999999999999974E-2</v>
          </cell>
          <cell r="AA21">
            <v>8.3333333333333301E-2</v>
          </cell>
          <cell r="AB21">
            <v>8.6666666666666628E-2</v>
          </cell>
          <cell r="AC21">
            <v>8.9999999999999955E-2</v>
          </cell>
          <cell r="AD21">
            <v>9.3333333333333282E-2</v>
          </cell>
          <cell r="AE21">
            <v>9.6666666666666609E-2</v>
          </cell>
          <cell r="AF21">
            <v>9.9999999999999936E-2</v>
          </cell>
        </row>
        <row r="22">
          <cell r="B22">
            <v>6.666666666666667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100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05C9D-EA62-43BF-8B44-9F135B57EF0A}">
  <sheetPr codeName="Лист1"/>
  <dimension ref="A2:AF27"/>
  <sheetViews>
    <sheetView tabSelected="1" zoomScale="90" zoomScaleNormal="90" workbookViewId="0">
      <selection activeCell="J11" sqref="J11"/>
    </sheetView>
  </sheetViews>
  <sheetFormatPr defaultRowHeight="14.4" x14ac:dyDescent="0.3"/>
  <cols>
    <col min="2" max="2" width="13.21875" bestFit="1" customWidth="1"/>
    <col min="3" max="3" width="12.6640625" bestFit="1" customWidth="1"/>
    <col min="4" max="32" width="7.77734375" bestFit="1" customWidth="1"/>
  </cols>
  <sheetData>
    <row r="2" spans="1:18" x14ac:dyDescent="0.3">
      <c r="C2">
        <f>(C10*C11*C6^2)/(2*C12)</f>
        <v>0.4333333333333334</v>
      </c>
      <c r="E2" s="11" t="s">
        <v>27</v>
      </c>
      <c r="F2" s="11"/>
      <c r="G2" s="11" t="s">
        <v>20</v>
      </c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</row>
    <row r="3" spans="1:18" x14ac:dyDescent="0.3">
      <c r="E3" s="11" t="s">
        <v>31</v>
      </c>
      <c r="F3" s="11"/>
      <c r="G3" s="11" t="s">
        <v>21</v>
      </c>
      <c r="H3" s="11"/>
      <c r="I3" s="11" t="s">
        <v>22</v>
      </c>
      <c r="J3" s="11"/>
      <c r="K3" s="11"/>
      <c r="L3" s="11"/>
      <c r="M3" s="11"/>
      <c r="N3" s="11"/>
      <c r="O3" s="11"/>
      <c r="P3" s="11"/>
      <c r="Q3" s="11"/>
      <c r="R3" s="11"/>
    </row>
    <row r="4" spans="1:18" x14ac:dyDescent="0.3">
      <c r="E4" s="11" t="s">
        <v>32</v>
      </c>
      <c r="F4" s="11"/>
      <c r="G4" s="11" t="s">
        <v>23</v>
      </c>
      <c r="H4" s="11"/>
      <c r="I4" s="11" t="s">
        <v>25</v>
      </c>
      <c r="J4" s="11"/>
      <c r="K4" s="11"/>
      <c r="L4" s="11"/>
      <c r="M4" s="11"/>
      <c r="N4" s="11"/>
      <c r="O4" s="11"/>
      <c r="P4" s="11"/>
      <c r="Q4" s="11"/>
      <c r="R4" s="11"/>
    </row>
    <row r="5" spans="1:18" x14ac:dyDescent="0.3">
      <c r="B5" s="3" t="s">
        <v>0</v>
      </c>
      <c r="C5" s="1">
        <v>0.1</v>
      </c>
      <c r="E5" s="11" t="s">
        <v>33</v>
      </c>
      <c r="F5" s="11"/>
      <c r="G5" s="11" t="s">
        <v>24</v>
      </c>
      <c r="H5" s="11"/>
      <c r="I5" s="11" t="s">
        <v>26</v>
      </c>
      <c r="J5" s="11"/>
      <c r="K5" s="11"/>
      <c r="L5" s="11"/>
      <c r="M5" s="11"/>
      <c r="N5" s="11"/>
      <c r="O5" s="11"/>
      <c r="P5" s="11"/>
      <c r="Q5" s="11"/>
      <c r="R5" s="11"/>
    </row>
    <row r="6" spans="1:18" x14ac:dyDescent="0.3">
      <c r="B6" s="4" t="s">
        <v>1</v>
      </c>
      <c r="C6" s="7">
        <f>C5/30</f>
        <v>3.3333333333333335E-3</v>
      </c>
      <c r="E6" s="11" t="s">
        <v>28</v>
      </c>
      <c r="F6" s="11"/>
      <c r="G6" s="11" t="s">
        <v>29</v>
      </c>
      <c r="H6" s="11"/>
      <c r="I6" s="11" t="s">
        <v>30</v>
      </c>
      <c r="J6" s="11"/>
      <c r="K6" s="11"/>
      <c r="L6" s="11"/>
      <c r="M6" s="11"/>
      <c r="N6" s="11"/>
      <c r="O6" s="11"/>
      <c r="P6" s="11"/>
      <c r="Q6" s="11"/>
      <c r="R6" s="11"/>
    </row>
    <row r="7" spans="1:18" x14ac:dyDescent="0.3">
      <c r="B7" s="3" t="s">
        <v>2</v>
      </c>
      <c r="C7" s="1">
        <v>5</v>
      </c>
    </row>
    <row r="8" spans="1:18" x14ac:dyDescent="0.3">
      <c r="B8" s="3" t="s">
        <v>3</v>
      </c>
      <c r="C8" s="1">
        <v>40</v>
      </c>
      <c r="D8" s="10">
        <v>45</v>
      </c>
    </row>
    <row r="9" spans="1:18" x14ac:dyDescent="0.3">
      <c r="A9" s="5"/>
      <c r="B9" s="6"/>
      <c r="C9" s="5"/>
      <c r="D9" s="5"/>
    </row>
    <row r="10" spans="1:18" x14ac:dyDescent="0.3">
      <c r="B10" s="3" t="s">
        <v>4</v>
      </c>
      <c r="C10" s="1">
        <v>460</v>
      </c>
    </row>
    <row r="11" spans="1:18" x14ac:dyDescent="0.3">
      <c r="B11" s="3" t="s">
        <v>5</v>
      </c>
      <c r="C11" s="1">
        <v>7800</v>
      </c>
    </row>
    <row r="12" spans="1:18" x14ac:dyDescent="0.3">
      <c r="B12" s="3" t="s">
        <v>6</v>
      </c>
      <c r="C12" s="1">
        <v>46</v>
      </c>
    </row>
    <row r="13" spans="1:18" x14ac:dyDescent="0.3">
      <c r="B13" s="3" t="s">
        <v>8</v>
      </c>
      <c r="C13" s="1">
        <v>300</v>
      </c>
    </row>
    <row r="14" spans="1:18" x14ac:dyDescent="0.3">
      <c r="B14" s="3" t="s">
        <v>9</v>
      </c>
      <c r="C14" s="1">
        <v>100</v>
      </c>
    </row>
    <row r="15" spans="1:18" x14ac:dyDescent="0.3">
      <c r="B15" s="3" t="s">
        <v>12</v>
      </c>
      <c r="C15" s="1">
        <f>$C$12/($C$6)^2</f>
        <v>4139999.9999999991</v>
      </c>
    </row>
    <row r="16" spans="1:18" x14ac:dyDescent="0.3">
      <c r="B16" s="3" t="s">
        <v>13</v>
      </c>
      <c r="C16" s="1">
        <f>(2*C12/(C6)^2)+(C11*C10/C7)</f>
        <v>8997599.9999999981</v>
      </c>
    </row>
    <row r="17" spans="1:32" x14ac:dyDescent="0.3">
      <c r="B17" s="3" t="s">
        <v>14</v>
      </c>
      <c r="C17" s="1">
        <f>$C$12/($C$6)^2</f>
        <v>4139999.9999999991</v>
      </c>
    </row>
    <row r="18" spans="1:32" x14ac:dyDescent="0.3">
      <c r="B18" s="1" t="s">
        <v>15</v>
      </c>
      <c r="C18" s="1">
        <f>-C11*C10/C7*B22</f>
        <v>-215280000</v>
      </c>
    </row>
    <row r="20" spans="1:32" x14ac:dyDescent="0.3">
      <c r="A20" s="1"/>
      <c r="B20" s="1">
        <v>1</v>
      </c>
      <c r="C20" s="1">
        <v>2</v>
      </c>
      <c r="D20" s="1">
        <v>3</v>
      </c>
      <c r="E20" s="1">
        <v>4</v>
      </c>
      <c r="F20" s="1">
        <v>5</v>
      </c>
      <c r="G20" s="1">
        <v>6</v>
      </c>
      <c r="H20" s="1">
        <v>7</v>
      </c>
      <c r="I20" s="1">
        <v>8</v>
      </c>
      <c r="J20" s="1">
        <v>9</v>
      </c>
      <c r="K20" s="1">
        <v>10</v>
      </c>
      <c r="L20" s="1">
        <v>11</v>
      </c>
      <c r="M20" s="1">
        <v>12</v>
      </c>
      <c r="N20" s="1">
        <v>13</v>
      </c>
      <c r="O20" s="1">
        <v>14</v>
      </c>
      <c r="P20" s="1">
        <v>15</v>
      </c>
      <c r="Q20" s="1">
        <v>16</v>
      </c>
      <c r="R20" s="1">
        <v>17</v>
      </c>
      <c r="S20" s="1">
        <v>18</v>
      </c>
      <c r="T20" s="1">
        <v>19</v>
      </c>
      <c r="U20" s="1">
        <v>20</v>
      </c>
      <c r="V20" s="1">
        <v>21</v>
      </c>
      <c r="W20" s="1">
        <v>22</v>
      </c>
      <c r="X20" s="1">
        <v>23</v>
      </c>
      <c r="Y20" s="1">
        <v>24</v>
      </c>
      <c r="Z20" s="1">
        <v>25</v>
      </c>
      <c r="AA20" s="1">
        <v>26</v>
      </c>
      <c r="AB20" s="1">
        <v>27</v>
      </c>
      <c r="AC20" s="1">
        <v>28</v>
      </c>
      <c r="AD20" s="1">
        <v>29</v>
      </c>
      <c r="AE20" s="1">
        <v>30</v>
      </c>
      <c r="AF20" s="1">
        <v>31</v>
      </c>
    </row>
    <row r="21" spans="1:32" x14ac:dyDescent="0.3">
      <c r="A21" s="1" t="s">
        <v>0</v>
      </c>
      <c r="B21" s="1">
        <v>0</v>
      </c>
      <c r="C21" s="2">
        <f>B21+$C$6</f>
        <v>3.3333333333333335E-3</v>
      </c>
      <c r="D21" s="2">
        <f t="shared" ref="D21:AF21" si="0">C21+$C$6</f>
        <v>6.6666666666666671E-3</v>
      </c>
      <c r="E21" s="2">
        <f t="shared" si="0"/>
        <v>0.01</v>
      </c>
      <c r="F21" s="2">
        <f t="shared" si="0"/>
        <v>1.3333333333333334E-2</v>
      </c>
      <c r="G21" s="2">
        <f t="shared" si="0"/>
        <v>1.6666666666666666E-2</v>
      </c>
      <c r="H21" s="2">
        <f t="shared" si="0"/>
        <v>0.02</v>
      </c>
      <c r="I21" s="2">
        <f t="shared" si="0"/>
        <v>2.3333333333333334E-2</v>
      </c>
      <c r="J21" s="2">
        <f t="shared" si="0"/>
        <v>2.6666666666666668E-2</v>
      </c>
      <c r="K21" s="2">
        <f t="shared" si="0"/>
        <v>3.0000000000000002E-2</v>
      </c>
      <c r="L21" s="2">
        <f t="shared" si="0"/>
        <v>3.3333333333333333E-2</v>
      </c>
      <c r="M21" s="2">
        <f t="shared" si="0"/>
        <v>3.6666666666666667E-2</v>
      </c>
      <c r="N21" s="2">
        <f t="shared" si="0"/>
        <v>0.04</v>
      </c>
      <c r="O21" s="2">
        <f t="shared" si="0"/>
        <v>4.3333333333333335E-2</v>
      </c>
      <c r="P21" s="2">
        <f t="shared" si="0"/>
        <v>4.6666666666666669E-2</v>
      </c>
      <c r="Q21" s="2">
        <f t="shared" si="0"/>
        <v>0.05</v>
      </c>
      <c r="R21" s="2">
        <f t="shared" si="0"/>
        <v>5.3333333333333337E-2</v>
      </c>
      <c r="S21" s="2">
        <f t="shared" si="0"/>
        <v>5.6666666666666671E-2</v>
      </c>
      <c r="T21" s="2">
        <f t="shared" si="0"/>
        <v>6.0000000000000005E-2</v>
      </c>
      <c r="U21" s="2">
        <f t="shared" si="0"/>
        <v>6.3333333333333339E-2</v>
      </c>
      <c r="V21" s="2">
        <f t="shared" si="0"/>
        <v>6.6666666666666666E-2</v>
      </c>
      <c r="W21" s="2">
        <f t="shared" si="0"/>
        <v>6.9999999999999993E-2</v>
      </c>
      <c r="X21" s="2">
        <f t="shared" si="0"/>
        <v>7.333333333333332E-2</v>
      </c>
      <c r="Y21" s="2">
        <f t="shared" si="0"/>
        <v>7.6666666666666647E-2</v>
      </c>
      <c r="Z21" s="2">
        <f t="shared" si="0"/>
        <v>7.9999999999999974E-2</v>
      </c>
      <c r="AA21" s="2">
        <f t="shared" si="0"/>
        <v>8.3333333333333301E-2</v>
      </c>
      <c r="AB21" s="2">
        <f t="shared" si="0"/>
        <v>8.6666666666666628E-2</v>
      </c>
      <c r="AC21" s="2">
        <f t="shared" si="0"/>
        <v>8.9999999999999955E-2</v>
      </c>
      <c r="AD21" s="2">
        <f t="shared" si="0"/>
        <v>9.3333333333333282E-2</v>
      </c>
      <c r="AE21" s="2">
        <f t="shared" si="0"/>
        <v>9.6666666666666609E-2</v>
      </c>
      <c r="AF21" s="2">
        <f t="shared" si="0"/>
        <v>9.9999999999999936E-2</v>
      </c>
    </row>
    <row r="22" spans="1:32" x14ac:dyDescent="0.3">
      <c r="A22" s="1" t="s">
        <v>7</v>
      </c>
      <c r="B22" s="8">
        <f>C13</f>
        <v>300</v>
      </c>
      <c r="C22" s="8">
        <v>0</v>
      </c>
      <c r="D22" s="8">
        <v>0</v>
      </c>
      <c r="E22" s="8">
        <v>0</v>
      </c>
      <c r="F22" s="8">
        <v>0</v>
      </c>
      <c r="G22" s="8">
        <v>0</v>
      </c>
      <c r="H22" s="8">
        <v>0</v>
      </c>
      <c r="I22" s="8">
        <v>0</v>
      </c>
      <c r="J22" s="8">
        <v>0</v>
      </c>
      <c r="K22" s="8">
        <v>0</v>
      </c>
      <c r="L22" s="8">
        <v>0</v>
      </c>
      <c r="M22" s="8">
        <v>0</v>
      </c>
      <c r="N22" s="8">
        <v>0</v>
      </c>
      <c r="O22" s="8">
        <v>0</v>
      </c>
      <c r="P22" s="8">
        <v>0</v>
      </c>
      <c r="Q22" s="8">
        <v>0</v>
      </c>
      <c r="R22" s="8">
        <v>0</v>
      </c>
      <c r="S22" s="8">
        <v>0</v>
      </c>
      <c r="T22" s="8">
        <v>0</v>
      </c>
      <c r="U22" s="8">
        <v>0</v>
      </c>
      <c r="V22" s="8">
        <v>0</v>
      </c>
      <c r="W22" s="8">
        <v>0</v>
      </c>
      <c r="X22" s="8">
        <v>0</v>
      </c>
      <c r="Y22" s="8">
        <v>0</v>
      </c>
      <c r="Z22" s="8">
        <v>0</v>
      </c>
      <c r="AA22" s="8">
        <v>0</v>
      </c>
      <c r="AB22" s="8">
        <v>0</v>
      </c>
      <c r="AC22" s="8">
        <v>0</v>
      </c>
      <c r="AD22" s="8">
        <v>0</v>
      </c>
      <c r="AE22" s="8">
        <v>0</v>
      </c>
      <c r="AF22" s="8">
        <f>C14</f>
        <v>100</v>
      </c>
    </row>
    <row r="23" spans="1:32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</row>
    <row r="24" spans="1:32" x14ac:dyDescent="0.3">
      <c r="A24" s="1" t="s">
        <v>10</v>
      </c>
      <c r="B24" s="1"/>
      <c r="C24" s="1">
        <f>C26*D24+C27</f>
        <v>198.42292229084813</v>
      </c>
      <c r="D24" s="1">
        <f t="shared" ref="D24:AD24" si="1">D26*E24+D27</f>
        <v>131.23915111210994</v>
      </c>
      <c r="E24" s="1">
        <f t="shared" si="1"/>
        <v>86.8034994594708</v>
      </c>
      <c r="F24" s="1">
        <f t="shared" si="1"/>
        <v>57.413787713139925</v>
      </c>
      <c r="G24" s="1">
        <f t="shared" si="1"/>
        <v>37.975799170419975</v>
      </c>
      <c r="H24" s="1">
        <f t="shared" si="1"/>
        <v>25.120282483906152</v>
      </c>
      <c r="I24" s="1">
        <f t="shared" si="1"/>
        <v>16.618948094602732</v>
      </c>
      <c r="J24" s="1">
        <f t="shared" si="1"/>
        <v>10.998231375030457</v>
      </c>
      <c r="K24" s="1">
        <f t="shared" si="1"/>
        <v>7.2838747604634584</v>
      </c>
      <c r="L24" s="1">
        <f t="shared" si="1"/>
        <v>4.8320564377101265</v>
      </c>
      <c r="M24" s="1">
        <f t="shared" si="1"/>
        <v>3.2177945641598829</v>
      </c>
      <c r="N24" s="1">
        <f t="shared" si="1"/>
        <v>2.1612837483973526</v>
      </c>
      <c r="O24" s="1">
        <f t="shared" si="1"/>
        <v>1.4793954490236962</v>
      </c>
      <c r="P24" s="1">
        <f t="shared" si="1"/>
        <v>1.0539356941474809</v>
      </c>
      <c r="Q24" s="1">
        <f t="shared" si="1"/>
        <v>0.81115812625682893</v>
      </c>
      <c r="R24" s="1">
        <f t="shared" si="1"/>
        <v>0.70898130025069406</v>
      </c>
      <c r="S24" s="1">
        <f t="shared" si="1"/>
        <v>0.72969456628801266</v>
      </c>
      <c r="T24" s="1">
        <f t="shared" si="1"/>
        <v>0.87688822381525355</v>
      </c>
      <c r="U24" s="1">
        <f t="shared" si="1"/>
        <v>1.1760758401371383</v>
      </c>
      <c r="V24" s="1">
        <f t="shared" si="1"/>
        <v>1.6791166020827941</v>
      </c>
      <c r="W24" s="1">
        <f t="shared" si="1"/>
        <v>2.4732042417228008</v>
      </c>
      <c r="X24" s="1">
        <f t="shared" si="1"/>
        <v>3.6959806165947593</v>
      </c>
      <c r="Y24" s="1">
        <f t="shared" si="1"/>
        <v>5.5593936316764765</v>
      </c>
      <c r="Z24" s="1">
        <f t="shared" si="1"/>
        <v>8.3864348762487833</v>
      </c>
      <c r="AA24" s="1">
        <f t="shared" si="1"/>
        <v>12.667124832704214</v>
      </c>
      <c r="AB24" s="1">
        <f t="shared" si="1"/>
        <v>19.143449760161708</v>
      </c>
      <c r="AC24" s="1">
        <f t="shared" si="1"/>
        <v>28.937972646047232</v>
      </c>
      <c r="AD24" s="1">
        <f t="shared" si="1"/>
        <v>43.748410790580948</v>
      </c>
      <c r="AE24" s="1">
        <f>AE26*AF24+AE27</f>
        <v>66.141906805482037</v>
      </c>
      <c r="AF24" s="8">
        <f>AF22</f>
        <v>100</v>
      </c>
    </row>
    <row r="25" spans="1:32" x14ac:dyDescent="0.3">
      <c r="A25" s="1" t="s">
        <v>15</v>
      </c>
      <c r="B25" s="1">
        <f>-$C$11*$C$10/$C$7*B22</f>
        <v>-215280000</v>
      </c>
      <c r="C25" s="1">
        <f>-$C$11*$C$10/$C$7*C22</f>
        <v>0</v>
      </c>
      <c r="D25" s="1">
        <f>-$C$11*$C$10/$C$7*D22</f>
        <v>0</v>
      </c>
      <c r="E25" s="1">
        <f t="shared" ref="E25:AE25" si="2">-$C$11*$C$10/$C$7*E22</f>
        <v>0</v>
      </c>
      <c r="F25" s="1">
        <f t="shared" si="2"/>
        <v>0</v>
      </c>
      <c r="G25" s="1">
        <f t="shared" si="2"/>
        <v>0</v>
      </c>
      <c r="H25" s="1">
        <f t="shared" si="2"/>
        <v>0</v>
      </c>
      <c r="I25" s="1">
        <f t="shared" si="2"/>
        <v>0</v>
      </c>
      <c r="J25" s="1">
        <f t="shared" si="2"/>
        <v>0</v>
      </c>
      <c r="K25" s="1">
        <f t="shared" si="2"/>
        <v>0</v>
      </c>
      <c r="L25" s="1">
        <f t="shared" si="2"/>
        <v>0</v>
      </c>
      <c r="M25" s="1">
        <f t="shared" si="2"/>
        <v>0</v>
      </c>
      <c r="N25" s="1">
        <f t="shared" si="2"/>
        <v>0</v>
      </c>
      <c r="O25" s="1">
        <f t="shared" si="2"/>
        <v>0</v>
      </c>
      <c r="P25" s="1">
        <f t="shared" si="2"/>
        <v>0</v>
      </c>
      <c r="Q25" s="1">
        <f t="shared" si="2"/>
        <v>0</v>
      </c>
      <c r="R25" s="1">
        <f t="shared" si="2"/>
        <v>0</v>
      </c>
      <c r="S25" s="1">
        <f t="shared" si="2"/>
        <v>0</v>
      </c>
      <c r="T25" s="1">
        <f t="shared" si="2"/>
        <v>0</v>
      </c>
      <c r="U25" s="1">
        <f t="shared" si="2"/>
        <v>0</v>
      </c>
      <c r="V25" s="1">
        <f t="shared" si="2"/>
        <v>0</v>
      </c>
      <c r="W25" s="1">
        <f t="shared" si="2"/>
        <v>0</v>
      </c>
      <c r="X25" s="1">
        <f t="shared" si="2"/>
        <v>0</v>
      </c>
      <c r="Y25" s="1">
        <f t="shared" si="2"/>
        <v>0</v>
      </c>
      <c r="Z25" s="1">
        <f t="shared" si="2"/>
        <v>0</v>
      </c>
      <c r="AA25" s="1">
        <f t="shared" si="2"/>
        <v>0</v>
      </c>
      <c r="AB25" s="1">
        <f t="shared" si="2"/>
        <v>0</v>
      </c>
      <c r="AC25" s="1">
        <f t="shared" si="2"/>
        <v>0</v>
      </c>
      <c r="AD25" s="1">
        <f t="shared" si="2"/>
        <v>0</v>
      </c>
      <c r="AE25" s="1">
        <f t="shared" si="2"/>
        <v>0</v>
      </c>
      <c r="AF25" s="1"/>
    </row>
    <row r="26" spans="1:32" x14ac:dyDescent="0.3">
      <c r="A26" s="8" t="s">
        <v>11</v>
      </c>
      <c r="B26" s="1">
        <v>0</v>
      </c>
      <c r="C26" s="1">
        <f>$C$15/($C$16+$C$17*B26)</f>
        <v>0.46012269938650308</v>
      </c>
      <c r="D26" s="1">
        <f>$C$15/($C$16-$C$17*C26)</f>
        <v>0.58369938884644768</v>
      </c>
      <c r="E26" s="1">
        <f t="shared" ref="E26:AE26" si="3">$C$15/($C$16-$C$17*D26)</f>
        <v>0.6290756456655735</v>
      </c>
      <c r="F26" s="1">
        <f t="shared" si="3"/>
        <v>0.64756031845324091</v>
      </c>
      <c r="G26" s="1">
        <f t="shared" si="3"/>
        <v>0.65540548315346114</v>
      </c>
      <c r="H26" s="1">
        <f t="shared" si="3"/>
        <v>0.65879284043803632</v>
      </c>
      <c r="I26" s="1">
        <f t="shared" si="3"/>
        <v>0.66026626867422533</v>
      </c>
      <c r="J26" s="1">
        <f t="shared" si="3"/>
        <v>0.66090923750646746</v>
      </c>
      <c r="K26" s="1">
        <f t="shared" si="3"/>
        <v>0.66119020634439474</v>
      </c>
      <c r="L26" s="1">
        <f t="shared" si="3"/>
        <v>0.66131306101377729</v>
      </c>
      <c r="M26" s="1">
        <f t="shared" si="3"/>
        <v>0.66136679402183063</v>
      </c>
      <c r="N26" s="1">
        <f t="shared" si="3"/>
        <v>0.66139029799916438</v>
      </c>
      <c r="O26" s="1">
        <f t="shared" si="3"/>
        <v>0.66140057967129717</v>
      </c>
      <c r="P26" s="1">
        <f t="shared" si="3"/>
        <v>0.66140507742683052</v>
      </c>
      <c r="Q26" s="1">
        <f t="shared" si="3"/>
        <v>0.66140704500587066</v>
      </c>
      <c r="R26" s="1">
        <f t="shared" si="3"/>
        <v>0.66140790574269959</v>
      </c>
      <c r="S26" s="1">
        <f t="shared" si="3"/>
        <v>0.66140828228120663</v>
      </c>
      <c r="T26" s="1">
        <f t="shared" si="3"/>
        <v>0.66140844700212786</v>
      </c>
      <c r="U26" s="1">
        <f t="shared" si="3"/>
        <v>0.66140851906113662</v>
      </c>
      <c r="V26" s="1">
        <f t="shared" si="3"/>
        <v>0.6614085505841607</v>
      </c>
      <c r="W26" s="1">
        <f t="shared" si="3"/>
        <v>0.66140856437426321</v>
      </c>
      <c r="X26" s="1">
        <f t="shared" si="3"/>
        <v>0.66140857040689915</v>
      </c>
      <c r="Y26" s="1">
        <f t="shared" si="3"/>
        <v>0.66140857304594403</v>
      </c>
      <c r="Z26" s="1">
        <f t="shared" si="3"/>
        <v>0.66140857420042398</v>
      </c>
      <c r="AA26" s="1">
        <f t="shared" si="3"/>
        <v>0.66140857470546432</v>
      </c>
      <c r="AB26" s="1">
        <f t="shared" si="3"/>
        <v>0.66140857492639993</v>
      </c>
      <c r="AC26" s="1">
        <f t="shared" si="3"/>
        <v>0.66140857502305062</v>
      </c>
      <c r="AD26" s="1">
        <f t="shared" si="3"/>
        <v>0.66140857506533157</v>
      </c>
      <c r="AE26" s="1">
        <f t="shared" si="3"/>
        <v>0.66140857508382789</v>
      </c>
      <c r="AF26" s="1"/>
    </row>
    <row r="27" spans="1:32" x14ac:dyDescent="0.3">
      <c r="A27" s="8" t="s">
        <v>16</v>
      </c>
      <c r="B27" s="1">
        <f>$C$13</f>
        <v>300</v>
      </c>
      <c r="C27" s="1">
        <f>(B27*$C$17-C25)/($C$16-$C$17*B26)</f>
        <v>138.03680981595093</v>
      </c>
      <c r="D27" s="1">
        <f t="shared" ref="D27:AE27" si="4">(C27*$C$17-D25)/($C$16-$C$17*C26)</f>
        <v>80.572001527883884</v>
      </c>
      <c r="E27" s="1">
        <f t="shared" si="4"/>
        <v>50.685883883721125</v>
      </c>
      <c r="F27" s="1">
        <f t="shared" si="4"/>
        <v>32.822167108826442</v>
      </c>
      <c r="G27" s="1">
        <f t="shared" si="4"/>
        <v>21.511828292104035</v>
      </c>
      <c r="H27" s="1">
        <f t="shared" si="4"/>
        <v>14.171838463570529</v>
      </c>
      <c r="I27" s="1">
        <f t="shared" si="4"/>
        <v>9.3571869025955792</v>
      </c>
      <c r="J27" s="1">
        <f t="shared" si="4"/>
        <v>6.1842512609999494</v>
      </c>
      <c r="K27" s="1">
        <f t="shared" si="4"/>
        <v>4.0889663673461394</v>
      </c>
      <c r="L27" s="1">
        <f t="shared" si="4"/>
        <v>2.7040868647720608</v>
      </c>
      <c r="M27" s="1">
        <f t="shared" si="4"/>
        <v>1.7883932605108412</v>
      </c>
      <c r="N27" s="1">
        <f t="shared" si="4"/>
        <v>1.1828259515089625</v>
      </c>
      <c r="O27" s="1">
        <f t="shared" si="4"/>
        <v>0.7823217699782814</v>
      </c>
      <c r="P27" s="1">
        <f t="shared" si="4"/>
        <v>0.51743159084518031</v>
      </c>
      <c r="Q27" s="1">
        <f t="shared" si="4"/>
        <v>0.34223289949359742</v>
      </c>
      <c r="R27" s="1">
        <f t="shared" si="4"/>
        <v>0.22635554533031207</v>
      </c>
      <c r="S27" s="1">
        <f t="shared" si="4"/>
        <v>0.14971343242174751</v>
      </c>
      <c r="T27" s="1">
        <f t="shared" si="4"/>
        <v>9.9021728833426026E-2</v>
      </c>
      <c r="U27" s="1">
        <f t="shared" si="4"/>
        <v>6.549381502258976E-2</v>
      </c>
      <c r="V27" s="1">
        <f t="shared" si="4"/>
        <v>4.3318169266318221E-2</v>
      </c>
      <c r="W27" s="1">
        <f t="shared" si="4"/>
        <v>2.8651008145756867E-2</v>
      </c>
      <c r="X27" s="1">
        <f t="shared" si="4"/>
        <v>1.895002233840147E-2</v>
      </c>
      <c r="Y27" s="1">
        <f t="shared" si="4"/>
        <v>1.253370723403088E-2</v>
      </c>
      <c r="Z27" s="1">
        <f t="shared" si="4"/>
        <v>8.2899014311059033E-3</v>
      </c>
      <c r="AA27" s="1">
        <f t="shared" si="4"/>
        <v>5.4830118899965438E-3</v>
      </c>
      <c r="AB27" s="1">
        <f t="shared" si="4"/>
        <v>3.626511080467121E-3</v>
      </c>
      <c r="AC27" s="1">
        <f t="shared" si="4"/>
        <v>2.3986055260370623E-3</v>
      </c>
      <c r="AD27" s="1">
        <f t="shared" si="4"/>
        <v>1.5864582631200034E-3</v>
      </c>
      <c r="AE27" s="1">
        <f t="shared" si="4"/>
        <v>1.049297099240166E-3</v>
      </c>
      <c r="AF27" s="1"/>
    </row>
  </sheetData>
  <mergeCells count="14">
    <mergeCell ref="E6:F6"/>
    <mergeCell ref="G6:H6"/>
    <mergeCell ref="I6:R6"/>
    <mergeCell ref="I4:R4"/>
    <mergeCell ref="I5:R5"/>
    <mergeCell ref="I3:R3"/>
    <mergeCell ref="G2:R2"/>
    <mergeCell ref="E2:F2"/>
    <mergeCell ref="E3:F3"/>
    <mergeCell ref="E4:F4"/>
    <mergeCell ref="E5:F5"/>
    <mergeCell ref="G3:H3"/>
    <mergeCell ref="G5:H5"/>
    <mergeCell ref="G4:H4"/>
  </mergeCells>
  <conditionalFormatting sqref="B22:AF22">
    <cfRule type="colorScale" priority="1">
      <colorScale>
        <cfvo type="min"/>
        <cfvo type="percentile" val="50"/>
        <cfvo type="max"/>
        <color theme="8" tint="-0.249977111117893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0070C0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F0000"/>
        <color rgb="FFFFEB84"/>
        <color rgb="FF0070C0"/>
      </colorScale>
    </cfRule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D603F-BC64-40AB-A09F-E39443C7B4B1}">
  <sheetPr codeName="Лист2"/>
  <dimension ref="A2:AF24"/>
  <sheetViews>
    <sheetView zoomScale="70" zoomScaleNormal="70" workbookViewId="0">
      <selection activeCell="C22" sqref="C22:AE22"/>
    </sheetView>
  </sheetViews>
  <sheetFormatPr defaultRowHeight="14.4" x14ac:dyDescent="0.3"/>
  <sheetData>
    <row r="2" spans="2:5" x14ac:dyDescent="0.3">
      <c r="E2">
        <f>(C10*C11*C6^2)/(2*C12)</f>
        <v>0.4333333333333334</v>
      </c>
    </row>
    <row r="5" spans="2:5" x14ac:dyDescent="0.3">
      <c r="B5" s="3" t="s">
        <v>0</v>
      </c>
      <c r="C5" s="1">
        <v>0.1</v>
      </c>
    </row>
    <row r="6" spans="2:5" x14ac:dyDescent="0.3">
      <c r="B6" s="4" t="s">
        <v>1</v>
      </c>
      <c r="C6" s="7">
        <f>C5/30</f>
        <v>3.3333333333333335E-3</v>
      </c>
    </row>
    <row r="7" spans="2:5" x14ac:dyDescent="0.3">
      <c r="B7" s="3" t="s">
        <v>2</v>
      </c>
      <c r="C7" s="1">
        <f>(C10*C11*C6^2)/(2*C12)</f>
        <v>0.4333333333333334</v>
      </c>
    </row>
    <row r="8" spans="2:5" x14ac:dyDescent="0.3">
      <c r="B8" s="3" t="s">
        <v>3</v>
      </c>
      <c r="C8" s="1">
        <f>'неявная схема'!C8</f>
        <v>40</v>
      </c>
      <c r="D8">
        <v>40.300000000000004</v>
      </c>
    </row>
    <row r="9" spans="2:5" x14ac:dyDescent="0.3">
      <c r="B9" s="9"/>
    </row>
    <row r="10" spans="2:5" x14ac:dyDescent="0.3">
      <c r="B10" s="3" t="s">
        <v>4</v>
      </c>
      <c r="C10" s="1">
        <v>460</v>
      </c>
    </row>
    <row r="11" spans="2:5" x14ac:dyDescent="0.3">
      <c r="B11" s="3" t="s">
        <v>5</v>
      </c>
      <c r="C11" s="1">
        <v>7800</v>
      </c>
    </row>
    <row r="12" spans="2:5" x14ac:dyDescent="0.3">
      <c r="B12" s="3" t="s">
        <v>6</v>
      </c>
      <c r="C12" s="1">
        <v>46</v>
      </c>
    </row>
    <row r="13" spans="2:5" x14ac:dyDescent="0.3">
      <c r="B13" s="1" t="s">
        <v>8</v>
      </c>
      <c r="C13" s="1">
        <f>'неявная схема'!C13</f>
        <v>300</v>
      </c>
    </row>
    <row r="14" spans="2:5" x14ac:dyDescent="0.3">
      <c r="B14" s="1" t="s">
        <v>9</v>
      </c>
      <c r="C14" s="1">
        <f>'неявная схема'!C14</f>
        <v>100</v>
      </c>
    </row>
    <row r="15" spans="2:5" x14ac:dyDescent="0.3">
      <c r="B15" s="1"/>
      <c r="C15" s="1"/>
    </row>
    <row r="20" spans="1:32" x14ac:dyDescent="0.3">
      <c r="A20" s="1"/>
      <c r="B20" s="1">
        <v>1</v>
      </c>
      <c r="C20" s="1">
        <v>2</v>
      </c>
      <c r="D20" s="1">
        <v>3</v>
      </c>
      <c r="E20" s="1">
        <v>4</v>
      </c>
      <c r="F20" s="1">
        <v>5</v>
      </c>
      <c r="G20" s="1">
        <v>6</v>
      </c>
      <c r="H20" s="1">
        <v>7</v>
      </c>
      <c r="I20" s="1">
        <v>8</v>
      </c>
      <c r="J20" s="1">
        <v>9</v>
      </c>
      <c r="K20" s="1">
        <v>10</v>
      </c>
      <c r="L20" s="1">
        <v>11</v>
      </c>
      <c r="M20" s="1">
        <v>12</v>
      </c>
      <c r="N20" s="1">
        <v>13</v>
      </c>
      <c r="O20" s="1">
        <v>14</v>
      </c>
      <c r="P20" s="1">
        <v>15</v>
      </c>
      <c r="Q20" s="1">
        <v>16</v>
      </c>
      <c r="R20" s="1">
        <v>17</v>
      </c>
      <c r="S20" s="1">
        <v>18</v>
      </c>
      <c r="T20" s="1">
        <v>19</v>
      </c>
      <c r="U20" s="1">
        <v>20</v>
      </c>
      <c r="V20" s="1">
        <v>21</v>
      </c>
      <c r="W20" s="1">
        <v>22</v>
      </c>
      <c r="X20" s="1">
        <v>23</v>
      </c>
      <c r="Y20" s="1">
        <v>24</v>
      </c>
      <c r="Z20" s="1">
        <v>25</v>
      </c>
      <c r="AA20" s="1">
        <v>26</v>
      </c>
      <c r="AB20" s="1">
        <v>27</v>
      </c>
      <c r="AC20" s="1">
        <v>28</v>
      </c>
      <c r="AD20" s="1">
        <v>29</v>
      </c>
      <c r="AE20" s="1">
        <v>30</v>
      </c>
      <c r="AF20" s="1">
        <v>31</v>
      </c>
    </row>
    <row r="21" spans="1:32" x14ac:dyDescent="0.3">
      <c r="A21" s="1" t="s">
        <v>0</v>
      </c>
      <c r="B21" s="1">
        <v>0</v>
      </c>
      <c r="C21" s="2">
        <f>B21+$C$6</f>
        <v>3.3333333333333335E-3</v>
      </c>
      <c r="D21" s="2">
        <f t="shared" ref="D21:AF21" si="0">C21+$C$6</f>
        <v>6.6666666666666671E-3</v>
      </c>
      <c r="E21" s="2">
        <f t="shared" si="0"/>
        <v>0.01</v>
      </c>
      <c r="F21" s="2">
        <f t="shared" si="0"/>
        <v>1.3333333333333334E-2</v>
      </c>
      <c r="G21" s="2">
        <f t="shared" si="0"/>
        <v>1.6666666666666666E-2</v>
      </c>
      <c r="H21" s="2">
        <f t="shared" si="0"/>
        <v>0.02</v>
      </c>
      <c r="I21" s="2">
        <f t="shared" si="0"/>
        <v>2.3333333333333334E-2</v>
      </c>
      <c r="J21" s="2">
        <f t="shared" si="0"/>
        <v>2.6666666666666668E-2</v>
      </c>
      <c r="K21" s="2">
        <f t="shared" si="0"/>
        <v>3.0000000000000002E-2</v>
      </c>
      <c r="L21" s="2">
        <f t="shared" si="0"/>
        <v>3.3333333333333333E-2</v>
      </c>
      <c r="M21" s="2">
        <f t="shared" si="0"/>
        <v>3.6666666666666667E-2</v>
      </c>
      <c r="N21" s="2">
        <f t="shared" si="0"/>
        <v>0.04</v>
      </c>
      <c r="O21" s="2">
        <f t="shared" si="0"/>
        <v>4.3333333333333335E-2</v>
      </c>
      <c r="P21" s="2">
        <f t="shared" si="0"/>
        <v>4.6666666666666669E-2</v>
      </c>
      <c r="Q21" s="2">
        <f t="shared" si="0"/>
        <v>0.05</v>
      </c>
      <c r="R21" s="2">
        <f t="shared" si="0"/>
        <v>5.3333333333333337E-2</v>
      </c>
      <c r="S21" s="2">
        <f t="shared" si="0"/>
        <v>5.6666666666666671E-2</v>
      </c>
      <c r="T21" s="2">
        <f t="shared" si="0"/>
        <v>6.0000000000000005E-2</v>
      </c>
      <c r="U21" s="2">
        <f t="shared" si="0"/>
        <v>6.3333333333333339E-2</v>
      </c>
      <c r="V21" s="2">
        <f t="shared" si="0"/>
        <v>6.6666666666666666E-2</v>
      </c>
      <c r="W21" s="2">
        <f t="shared" si="0"/>
        <v>6.9999999999999993E-2</v>
      </c>
      <c r="X21" s="2">
        <f t="shared" si="0"/>
        <v>7.333333333333332E-2</v>
      </c>
      <c r="Y21" s="2">
        <f t="shared" si="0"/>
        <v>7.6666666666666647E-2</v>
      </c>
      <c r="Z21" s="2">
        <f t="shared" si="0"/>
        <v>7.9999999999999974E-2</v>
      </c>
      <c r="AA21" s="2">
        <f t="shared" si="0"/>
        <v>8.3333333333333301E-2</v>
      </c>
      <c r="AB21" s="2">
        <f t="shared" si="0"/>
        <v>8.6666666666666628E-2</v>
      </c>
      <c r="AC21" s="2">
        <f t="shared" si="0"/>
        <v>8.9999999999999955E-2</v>
      </c>
      <c r="AD21" s="2">
        <f t="shared" si="0"/>
        <v>9.3333333333333282E-2</v>
      </c>
      <c r="AE21" s="2">
        <f t="shared" si="0"/>
        <v>9.6666666666666609E-2</v>
      </c>
      <c r="AF21" s="2">
        <f t="shared" si="0"/>
        <v>9.9999999999999936E-2</v>
      </c>
    </row>
    <row r="22" spans="1:32" x14ac:dyDescent="0.3">
      <c r="A22" s="1" t="s">
        <v>7</v>
      </c>
      <c r="B22" s="1">
        <f>C13</f>
        <v>300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f>C14</f>
        <v>100</v>
      </c>
    </row>
    <row r="24" spans="1:32" x14ac:dyDescent="0.3">
      <c r="A24" t="s">
        <v>10</v>
      </c>
      <c r="C24">
        <f>C22+($C12*$C7)/($C10*$C11)*((D22-2*C22+B22)/$C6^2)</f>
        <v>150</v>
      </c>
      <c r="D24">
        <f t="shared" ref="D24:AE24" si="1">D22+($C12*$C7)/($C10*$C11)*((E22-2*D22+C22)/$C6^2)</f>
        <v>0</v>
      </c>
      <c r="E24">
        <f t="shared" si="1"/>
        <v>0</v>
      </c>
      <c r="F24">
        <f t="shared" si="1"/>
        <v>0</v>
      </c>
      <c r="G24">
        <f t="shared" si="1"/>
        <v>0</v>
      </c>
      <c r="H24">
        <f t="shared" si="1"/>
        <v>0</v>
      </c>
      <c r="I24">
        <f t="shared" si="1"/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 t="shared" si="1"/>
        <v>0</v>
      </c>
      <c r="P24">
        <f t="shared" si="1"/>
        <v>0</v>
      </c>
      <c r="Q24">
        <f t="shared" si="1"/>
        <v>0</v>
      </c>
      <c r="R24">
        <f t="shared" si="1"/>
        <v>0</v>
      </c>
      <c r="S24">
        <f t="shared" si="1"/>
        <v>0</v>
      </c>
      <c r="T24">
        <f t="shared" si="1"/>
        <v>0</v>
      </c>
      <c r="U24">
        <f t="shared" si="1"/>
        <v>0</v>
      </c>
      <c r="V24">
        <f t="shared" si="1"/>
        <v>0</v>
      </c>
      <c r="W24">
        <f t="shared" si="1"/>
        <v>0</v>
      </c>
      <c r="X24">
        <f t="shared" si="1"/>
        <v>0</v>
      </c>
      <c r="Y24">
        <f t="shared" si="1"/>
        <v>0</v>
      </c>
      <c r="Z24">
        <f t="shared" si="1"/>
        <v>0</v>
      </c>
      <c r="AA24">
        <f t="shared" si="1"/>
        <v>0</v>
      </c>
      <c r="AB24">
        <f t="shared" si="1"/>
        <v>0</v>
      </c>
      <c r="AC24">
        <f t="shared" si="1"/>
        <v>0</v>
      </c>
      <c r="AD24">
        <f t="shared" si="1"/>
        <v>0</v>
      </c>
      <c r="AE24">
        <f t="shared" si="1"/>
        <v>50</v>
      </c>
    </row>
  </sheetData>
  <conditionalFormatting sqref="B22:AF22">
    <cfRule type="colorScale" priority="1">
      <colorScale>
        <cfvo type="min"/>
        <cfvo type="percentile" val="50"/>
        <cfvo type="max"/>
        <color theme="8" tint="-0.249977111117893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0070C0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F0000"/>
        <color rgb="FFFFEB84"/>
        <color rgb="FF0070C0"/>
      </colorScale>
    </cfRule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281F9-0AB2-4418-A9BA-45655310C62E}">
  <sheetPr codeName="Лист3"/>
  <dimension ref="A2:AF27"/>
  <sheetViews>
    <sheetView workbookViewId="0">
      <selection activeCell="C22" sqref="C22:AE22"/>
    </sheetView>
  </sheetViews>
  <sheetFormatPr defaultRowHeight="14.4" x14ac:dyDescent="0.3"/>
  <cols>
    <col min="2" max="2" width="13.21875" bestFit="1" customWidth="1"/>
    <col min="3" max="3" width="12.6640625" bestFit="1" customWidth="1"/>
    <col min="4" max="32" width="7.77734375" bestFit="1" customWidth="1"/>
  </cols>
  <sheetData>
    <row r="2" spans="1:5" x14ac:dyDescent="0.3">
      <c r="E2">
        <f>(C10*C11*C6^2)/(2*C12)</f>
        <v>0.4333333333333334</v>
      </c>
    </row>
    <row r="5" spans="1:5" x14ac:dyDescent="0.3">
      <c r="B5" s="3" t="s">
        <v>0</v>
      </c>
      <c r="C5" s="1">
        <v>0.1</v>
      </c>
    </row>
    <row r="6" spans="1:5" x14ac:dyDescent="0.3">
      <c r="B6" s="4" t="s">
        <v>1</v>
      </c>
      <c r="C6" s="7">
        <f>C5/30</f>
        <v>3.3333333333333335E-3</v>
      </c>
    </row>
    <row r="7" spans="1:5" x14ac:dyDescent="0.3">
      <c r="B7" s="3" t="s">
        <v>2</v>
      </c>
      <c r="C7" s="1">
        <v>0.433</v>
      </c>
    </row>
    <row r="8" spans="1:5" x14ac:dyDescent="0.3">
      <c r="B8" s="3" t="s">
        <v>3</v>
      </c>
      <c r="C8" s="1">
        <v>2200</v>
      </c>
      <c r="D8" s="10">
        <v>3.0310000000000001</v>
      </c>
    </row>
    <row r="9" spans="1:5" x14ac:dyDescent="0.3">
      <c r="A9" s="5"/>
      <c r="B9" s="3" t="s">
        <v>18</v>
      </c>
      <c r="C9" s="1">
        <v>92000</v>
      </c>
      <c r="D9" s="5"/>
    </row>
    <row r="10" spans="1:5" x14ac:dyDescent="0.3">
      <c r="B10" s="3" t="s">
        <v>4</v>
      </c>
      <c r="C10" s="1">
        <v>460</v>
      </c>
    </row>
    <row r="11" spans="1:5" x14ac:dyDescent="0.3">
      <c r="B11" s="3" t="s">
        <v>5</v>
      </c>
      <c r="C11" s="1">
        <v>7800</v>
      </c>
    </row>
    <row r="12" spans="1:5" x14ac:dyDescent="0.3">
      <c r="B12" s="3" t="s">
        <v>6</v>
      </c>
      <c r="C12" s="1">
        <v>46</v>
      </c>
    </row>
    <row r="13" spans="1:5" x14ac:dyDescent="0.3">
      <c r="B13" s="3" t="s">
        <v>8</v>
      </c>
      <c r="C13" s="1">
        <v>300</v>
      </c>
    </row>
    <row r="14" spans="1:5" x14ac:dyDescent="0.3">
      <c r="B14" s="3" t="s">
        <v>9</v>
      </c>
      <c r="C14" s="1">
        <v>100</v>
      </c>
    </row>
    <row r="15" spans="1:5" x14ac:dyDescent="0.3">
      <c r="B15" s="3" t="s">
        <v>12</v>
      </c>
      <c r="C15" s="1">
        <f>$C$12/($C$6)^2</f>
        <v>4139999.9999999991</v>
      </c>
    </row>
    <row r="16" spans="1:5" x14ac:dyDescent="0.3">
      <c r="B16" s="3" t="s">
        <v>13</v>
      </c>
      <c r="C16" s="1">
        <f>(2*C12/(C6)^2)+(C11*C10/C7)</f>
        <v>16566374.13394919</v>
      </c>
    </row>
    <row r="17" spans="1:32" x14ac:dyDescent="0.3">
      <c r="B17" s="3" t="s">
        <v>14</v>
      </c>
      <c r="C17" s="1">
        <f>$C$12/($C$6)^2</f>
        <v>4139999.9999999991</v>
      </c>
    </row>
    <row r="18" spans="1:32" x14ac:dyDescent="0.3">
      <c r="B18" s="1" t="s">
        <v>15</v>
      </c>
      <c r="C18" s="1">
        <f>-C11*C10/C7*B22</f>
        <v>-55242494.226327941</v>
      </c>
    </row>
    <row r="20" spans="1:32" x14ac:dyDescent="0.3">
      <c r="A20" s="1"/>
      <c r="B20" s="1">
        <v>1</v>
      </c>
      <c r="C20" s="1">
        <v>2</v>
      </c>
      <c r="D20" s="1">
        <v>3</v>
      </c>
      <c r="E20" s="1">
        <v>4</v>
      </c>
      <c r="F20" s="1">
        <v>5</v>
      </c>
      <c r="G20" s="1">
        <v>6</v>
      </c>
      <c r="H20" s="1">
        <v>7</v>
      </c>
      <c r="I20" s="1">
        <v>8</v>
      </c>
      <c r="J20" s="1">
        <v>9</v>
      </c>
      <c r="K20" s="1">
        <v>10</v>
      </c>
      <c r="L20" s="1">
        <v>11</v>
      </c>
      <c r="M20" s="1">
        <v>12</v>
      </c>
      <c r="N20" s="1">
        <v>13</v>
      </c>
      <c r="O20" s="1">
        <v>14</v>
      </c>
      <c r="P20" s="1">
        <v>15</v>
      </c>
      <c r="Q20" s="1">
        <v>16</v>
      </c>
      <c r="R20" s="1">
        <v>17</v>
      </c>
      <c r="S20" s="1">
        <v>18</v>
      </c>
      <c r="T20" s="1">
        <v>19</v>
      </c>
      <c r="U20" s="1">
        <v>20</v>
      </c>
      <c r="V20" s="1">
        <v>21</v>
      </c>
      <c r="W20" s="1">
        <v>22</v>
      </c>
      <c r="X20" s="1">
        <v>23</v>
      </c>
      <c r="Y20" s="1">
        <v>24</v>
      </c>
      <c r="Z20" s="1">
        <v>25</v>
      </c>
      <c r="AA20" s="1">
        <v>26</v>
      </c>
      <c r="AB20" s="1">
        <v>27</v>
      </c>
      <c r="AC20" s="1">
        <v>28</v>
      </c>
      <c r="AD20" s="1">
        <v>29</v>
      </c>
      <c r="AE20" s="1">
        <v>30</v>
      </c>
      <c r="AF20" s="1">
        <v>31</v>
      </c>
    </row>
    <row r="21" spans="1:32" x14ac:dyDescent="0.3">
      <c r="A21" s="1" t="s">
        <v>0</v>
      </c>
      <c r="B21" s="1">
        <v>0</v>
      </c>
      <c r="C21" s="2">
        <f>B21+$C$6</f>
        <v>3.3333333333333335E-3</v>
      </c>
      <c r="D21" s="2">
        <f t="shared" ref="D21:AF21" si="0">C21+$C$6</f>
        <v>6.6666666666666671E-3</v>
      </c>
      <c r="E21" s="2">
        <f t="shared" si="0"/>
        <v>0.01</v>
      </c>
      <c r="F21" s="2">
        <f t="shared" si="0"/>
        <v>1.3333333333333334E-2</v>
      </c>
      <c r="G21" s="2">
        <f t="shared" si="0"/>
        <v>1.6666666666666666E-2</v>
      </c>
      <c r="H21" s="2">
        <f t="shared" si="0"/>
        <v>0.02</v>
      </c>
      <c r="I21" s="2">
        <f t="shared" si="0"/>
        <v>2.3333333333333334E-2</v>
      </c>
      <c r="J21" s="2">
        <f t="shared" si="0"/>
        <v>2.6666666666666668E-2</v>
      </c>
      <c r="K21" s="2">
        <f t="shared" si="0"/>
        <v>3.0000000000000002E-2</v>
      </c>
      <c r="L21" s="2">
        <f t="shared" si="0"/>
        <v>3.3333333333333333E-2</v>
      </c>
      <c r="M21" s="2">
        <f t="shared" si="0"/>
        <v>3.6666666666666667E-2</v>
      </c>
      <c r="N21" s="2">
        <f t="shared" si="0"/>
        <v>0.04</v>
      </c>
      <c r="O21" s="2">
        <f t="shared" si="0"/>
        <v>4.3333333333333335E-2</v>
      </c>
      <c r="P21" s="2">
        <f t="shared" si="0"/>
        <v>4.6666666666666669E-2</v>
      </c>
      <c r="Q21" s="2">
        <f t="shared" si="0"/>
        <v>0.05</v>
      </c>
      <c r="R21" s="2">
        <f t="shared" si="0"/>
        <v>5.3333333333333337E-2</v>
      </c>
      <c r="S21" s="2">
        <f t="shared" si="0"/>
        <v>5.6666666666666671E-2</v>
      </c>
      <c r="T21" s="2">
        <f t="shared" si="0"/>
        <v>6.0000000000000005E-2</v>
      </c>
      <c r="U21" s="2">
        <f t="shared" si="0"/>
        <v>6.3333333333333339E-2</v>
      </c>
      <c r="V21" s="2">
        <f t="shared" si="0"/>
        <v>6.6666666666666666E-2</v>
      </c>
      <c r="W21" s="2">
        <f t="shared" si="0"/>
        <v>6.9999999999999993E-2</v>
      </c>
      <c r="X21" s="2">
        <f t="shared" si="0"/>
        <v>7.333333333333332E-2</v>
      </c>
      <c r="Y21" s="2">
        <f t="shared" si="0"/>
        <v>7.6666666666666647E-2</v>
      </c>
      <c r="Z21" s="2">
        <f t="shared" si="0"/>
        <v>7.9999999999999974E-2</v>
      </c>
      <c r="AA21" s="2">
        <f t="shared" si="0"/>
        <v>8.3333333333333301E-2</v>
      </c>
      <c r="AB21" s="2">
        <f t="shared" si="0"/>
        <v>8.6666666666666628E-2</v>
      </c>
      <c r="AC21" s="2">
        <f t="shared" si="0"/>
        <v>8.9999999999999955E-2</v>
      </c>
      <c r="AD21" s="2">
        <f t="shared" si="0"/>
        <v>9.3333333333333282E-2</v>
      </c>
      <c r="AE21" s="2">
        <f t="shared" si="0"/>
        <v>9.6666666666666609E-2</v>
      </c>
      <c r="AF21" s="2">
        <f t="shared" si="0"/>
        <v>9.9999999999999936E-2</v>
      </c>
    </row>
    <row r="22" spans="1:32" x14ac:dyDescent="0.3">
      <c r="A22" s="1" t="s">
        <v>7</v>
      </c>
      <c r="B22" s="8">
        <f>(B23/C12)*C6+C22</f>
        <v>6.666666666666667</v>
      </c>
      <c r="C22" s="8">
        <v>0</v>
      </c>
      <c r="D22" s="8">
        <v>0</v>
      </c>
      <c r="E22" s="8">
        <v>0</v>
      </c>
      <c r="F22" s="8">
        <v>0</v>
      </c>
      <c r="G22" s="8">
        <v>0</v>
      </c>
      <c r="H22" s="8">
        <v>0</v>
      </c>
      <c r="I22" s="8">
        <v>0</v>
      </c>
      <c r="J22" s="8">
        <v>0</v>
      </c>
      <c r="K22" s="8">
        <v>0</v>
      </c>
      <c r="L22" s="8">
        <v>0</v>
      </c>
      <c r="M22" s="8">
        <v>0</v>
      </c>
      <c r="N22" s="8">
        <v>0</v>
      </c>
      <c r="O22" s="8">
        <v>0</v>
      </c>
      <c r="P22" s="8">
        <v>0</v>
      </c>
      <c r="Q22" s="8">
        <v>0</v>
      </c>
      <c r="R22" s="8">
        <v>0</v>
      </c>
      <c r="S22" s="8">
        <v>0</v>
      </c>
      <c r="T22" s="8">
        <v>0</v>
      </c>
      <c r="U22" s="8">
        <v>0</v>
      </c>
      <c r="V22" s="8">
        <v>0</v>
      </c>
      <c r="W22" s="8">
        <v>0</v>
      </c>
      <c r="X22" s="8">
        <v>0</v>
      </c>
      <c r="Y22" s="8">
        <v>0</v>
      </c>
      <c r="Z22" s="8">
        <v>0</v>
      </c>
      <c r="AA22" s="8">
        <v>0</v>
      </c>
      <c r="AB22" s="8">
        <v>0</v>
      </c>
      <c r="AC22" s="8">
        <v>0</v>
      </c>
      <c r="AD22" s="8">
        <v>0</v>
      </c>
      <c r="AE22" s="8">
        <v>0</v>
      </c>
      <c r="AF22" s="8">
        <f>C14</f>
        <v>100</v>
      </c>
    </row>
    <row r="23" spans="1:32" x14ac:dyDescent="0.3">
      <c r="A23" s="1" t="s">
        <v>17</v>
      </c>
      <c r="B23" s="1">
        <f>C9</f>
        <v>92000</v>
      </c>
      <c r="C23" s="1">
        <f>-$C$12*(C22-B22)/$C$6</f>
        <v>92000</v>
      </c>
      <c r="D23" s="1">
        <f t="shared" ref="D23:AF23" si="1">-$C$12*(D22-C22)/$C$6</f>
        <v>0</v>
      </c>
      <c r="E23" s="1">
        <f t="shared" si="1"/>
        <v>0</v>
      </c>
      <c r="F23" s="1">
        <f t="shared" si="1"/>
        <v>0</v>
      </c>
      <c r="G23" s="1">
        <f t="shared" si="1"/>
        <v>0</v>
      </c>
      <c r="H23" s="1">
        <f t="shared" si="1"/>
        <v>0</v>
      </c>
      <c r="I23" s="1">
        <f t="shared" si="1"/>
        <v>0</v>
      </c>
      <c r="J23" s="1">
        <f t="shared" si="1"/>
        <v>0</v>
      </c>
      <c r="K23" s="1">
        <f t="shared" si="1"/>
        <v>0</v>
      </c>
      <c r="L23" s="1">
        <f t="shared" si="1"/>
        <v>0</v>
      </c>
      <c r="M23" s="1">
        <f t="shared" si="1"/>
        <v>0</v>
      </c>
      <c r="N23" s="1">
        <f t="shared" si="1"/>
        <v>0</v>
      </c>
      <c r="O23" s="1">
        <f t="shared" si="1"/>
        <v>0</v>
      </c>
      <c r="P23" s="1">
        <f t="shared" si="1"/>
        <v>0</v>
      </c>
      <c r="Q23" s="1">
        <f t="shared" si="1"/>
        <v>0</v>
      </c>
      <c r="R23" s="1">
        <f t="shared" si="1"/>
        <v>0</v>
      </c>
      <c r="S23" s="1">
        <f t="shared" si="1"/>
        <v>0</v>
      </c>
      <c r="T23" s="1">
        <f t="shared" si="1"/>
        <v>0</v>
      </c>
      <c r="U23" s="1">
        <f t="shared" si="1"/>
        <v>0</v>
      </c>
      <c r="V23" s="1">
        <f t="shared" si="1"/>
        <v>0</v>
      </c>
      <c r="W23" s="1">
        <f t="shared" si="1"/>
        <v>0</v>
      </c>
      <c r="X23" s="1">
        <f t="shared" si="1"/>
        <v>0</v>
      </c>
      <c r="Y23" s="1">
        <f t="shared" si="1"/>
        <v>0</v>
      </c>
      <c r="Z23" s="1">
        <f t="shared" si="1"/>
        <v>0</v>
      </c>
      <c r="AA23" s="1">
        <f t="shared" si="1"/>
        <v>0</v>
      </c>
      <c r="AB23" s="1">
        <f t="shared" si="1"/>
        <v>0</v>
      </c>
      <c r="AC23" s="1">
        <f t="shared" si="1"/>
        <v>0</v>
      </c>
      <c r="AD23" s="1">
        <f t="shared" si="1"/>
        <v>0</v>
      </c>
      <c r="AE23" s="1">
        <f t="shared" si="1"/>
        <v>0</v>
      </c>
      <c r="AF23" s="1">
        <f t="shared" si="1"/>
        <v>-1380000</v>
      </c>
    </row>
    <row r="24" spans="1:32" x14ac:dyDescent="0.3">
      <c r="A24" s="1" t="s">
        <v>10</v>
      </c>
      <c r="B24" s="1"/>
      <c r="C24" s="1">
        <f>C26*D24+C27</f>
        <v>80.349047221223955</v>
      </c>
      <c r="D24" s="1">
        <f t="shared" ref="D24:AD24" si="2">D26*E24+D27</f>
        <v>21.519897964528266</v>
      </c>
      <c r="E24" s="1">
        <f t="shared" si="2"/>
        <v>5.7636776591593772</v>
      </c>
      <c r="F24" s="1">
        <f t="shared" si="2"/>
        <v>1.5436866946791581</v>
      </c>
      <c r="G24" s="1">
        <f t="shared" si="2"/>
        <v>0.4134458504189642</v>
      </c>
      <c r="H24" s="1">
        <f t="shared" si="2"/>
        <v>0.1107332671974979</v>
      </c>
      <c r="I24" s="1">
        <f t="shared" si="2"/>
        <v>2.9657708389807302E-2</v>
      </c>
      <c r="J24" s="1">
        <f t="shared" si="2"/>
        <v>7.943228730306855E-3</v>
      </c>
      <c r="K24" s="1">
        <f t="shared" si="2"/>
        <v>2.12743629082013E-3</v>
      </c>
      <c r="L24" s="1">
        <f t="shared" si="2"/>
        <v>5.6979193149686938E-4</v>
      </c>
      <c r="M24" s="1">
        <f t="shared" si="2"/>
        <v>1.5260871296795894E-4</v>
      </c>
      <c r="N24" s="1">
        <f t="shared" si="2"/>
        <v>4.0877883751360593E-5</v>
      </c>
      <c r="O24" s="1">
        <f t="shared" si="2"/>
        <v>1.0965759502843541E-5</v>
      </c>
      <c r="P24" s="1">
        <f t="shared" si="2"/>
        <v>3.0020376464690629E-6</v>
      </c>
      <c r="Q24" s="1">
        <f t="shared" si="2"/>
        <v>1.0470131579310498E-6</v>
      </c>
      <c r="R24" s="1">
        <f t="shared" si="2"/>
        <v>1.1876270147515662E-6</v>
      </c>
      <c r="S24" s="1">
        <f t="shared" si="2"/>
        <v>3.7053234261171734E-6</v>
      </c>
      <c r="T24" s="1">
        <f t="shared" si="2"/>
        <v>1.3639371575669581E-5</v>
      </c>
      <c r="U24" s="1">
        <f t="shared" si="2"/>
        <v>5.0873162678833165E-5</v>
      </c>
      <c r="V24" s="1">
        <f t="shared" si="2"/>
        <v>1.8993160579505773E-4</v>
      </c>
      <c r="W24" s="1">
        <f t="shared" si="2"/>
        <v>7.0914568791601679E-4</v>
      </c>
      <c r="X24" s="1">
        <f t="shared" si="2"/>
        <v>2.647742979106756E-3</v>
      </c>
      <c r="Y24" s="1">
        <f t="shared" si="2"/>
        <v>9.8859028150839207E-3</v>
      </c>
      <c r="Z24" s="1">
        <f t="shared" si="2"/>
        <v>3.6911089070782561E-2</v>
      </c>
      <c r="AA24" s="1">
        <f t="shared" si="2"/>
        <v>0.1378152834743139</v>
      </c>
      <c r="AB24" s="1">
        <f t="shared" si="2"/>
        <v>0.51456223156007475</v>
      </c>
      <c r="AC24" s="1">
        <f t="shared" si="2"/>
        <v>1.9212258863865548</v>
      </c>
      <c r="AD24" s="1">
        <f t="shared" si="2"/>
        <v>7.1732993215094503</v>
      </c>
      <c r="AE24" s="1">
        <f>AE26*AF24+AE27</f>
        <v>26.783015740407997</v>
      </c>
      <c r="AF24" s="8">
        <f>AF22</f>
        <v>100</v>
      </c>
    </row>
    <row r="25" spans="1:32" x14ac:dyDescent="0.3">
      <c r="A25" s="1" t="s">
        <v>15</v>
      </c>
      <c r="B25" s="1">
        <f>-$C$11*$C$10/$C$7*B22</f>
        <v>-55242494.226327941</v>
      </c>
      <c r="C25" s="1">
        <f>-$C$11*$C$10/$C$7*C22</f>
        <v>0</v>
      </c>
      <c r="D25" s="1">
        <f>-$C$11*$C$10/$C$7*D22</f>
        <v>0</v>
      </c>
      <c r="E25" s="1">
        <f t="shared" ref="E25:AE25" si="3">-$C$11*$C$10/$C$7*E22</f>
        <v>0</v>
      </c>
      <c r="F25" s="1">
        <f t="shared" si="3"/>
        <v>0</v>
      </c>
      <c r="G25" s="1">
        <f t="shared" si="3"/>
        <v>0</v>
      </c>
      <c r="H25" s="1">
        <f t="shared" si="3"/>
        <v>0</v>
      </c>
      <c r="I25" s="1">
        <f t="shared" si="3"/>
        <v>0</v>
      </c>
      <c r="J25" s="1">
        <f t="shared" si="3"/>
        <v>0</v>
      </c>
      <c r="K25" s="1">
        <f t="shared" si="3"/>
        <v>0</v>
      </c>
      <c r="L25" s="1">
        <f t="shared" si="3"/>
        <v>0</v>
      </c>
      <c r="M25" s="1">
        <f t="shared" si="3"/>
        <v>0</v>
      </c>
      <c r="N25" s="1">
        <f t="shared" si="3"/>
        <v>0</v>
      </c>
      <c r="O25" s="1">
        <f t="shared" si="3"/>
        <v>0</v>
      </c>
      <c r="P25" s="1">
        <f t="shared" si="3"/>
        <v>0</v>
      </c>
      <c r="Q25" s="1">
        <f t="shared" si="3"/>
        <v>0</v>
      </c>
      <c r="R25" s="1">
        <f t="shared" si="3"/>
        <v>0</v>
      </c>
      <c r="S25" s="1">
        <f t="shared" si="3"/>
        <v>0</v>
      </c>
      <c r="T25" s="1">
        <f t="shared" si="3"/>
        <v>0</v>
      </c>
      <c r="U25" s="1">
        <f t="shared" si="3"/>
        <v>0</v>
      </c>
      <c r="V25" s="1">
        <f t="shared" si="3"/>
        <v>0</v>
      </c>
      <c r="W25" s="1">
        <f t="shared" si="3"/>
        <v>0</v>
      </c>
      <c r="X25" s="1">
        <f t="shared" si="3"/>
        <v>0</v>
      </c>
      <c r="Y25" s="1">
        <f t="shared" si="3"/>
        <v>0</v>
      </c>
      <c r="Z25" s="1">
        <f t="shared" si="3"/>
        <v>0</v>
      </c>
      <c r="AA25" s="1">
        <f t="shared" si="3"/>
        <v>0</v>
      </c>
      <c r="AB25" s="1">
        <f t="shared" si="3"/>
        <v>0</v>
      </c>
      <c r="AC25" s="1">
        <f t="shared" si="3"/>
        <v>0</v>
      </c>
      <c r="AD25" s="1">
        <f t="shared" si="3"/>
        <v>0</v>
      </c>
      <c r="AE25" s="1">
        <f t="shared" si="3"/>
        <v>0</v>
      </c>
      <c r="AF25" s="1"/>
    </row>
    <row r="26" spans="1:32" x14ac:dyDescent="0.3">
      <c r="A26" s="8" t="s">
        <v>11</v>
      </c>
      <c r="B26" s="1">
        <v>0</v>
      </c>
      <c r="C26" s="1">
        <f>$C$15/($C$16+$C$17*B26)</f>
        <v>0.24990380915736818</v>
      </c>
      <c r="D26" s="1">
        <f>$C$15/($C$16-$C$17*C26)</f>
        <v>0.26655039122165913</v>
      </c>
      <c r="E26" s="1">
        <f t="shared" ref="E26:AE26" si="4">$C$15/($C$16-$C$17*D26)</f>
        <v>0.26773838740028388</v>
      </c>
      <c r="F26" s="1">
        <f t="shared" si="4"/>
        <v>0.26782357462881679</v>
      </c>
      <c r="G26" s="1">
        <f t="shared" si="4"/>
        <v>0.26782968520273909</v>
      </c>
      <c r="H26" s="1">
        <f t="shared" si="4"/>
        <v>0.26783012353166857</v>
      </c>
      <c r="I26" s="1">
        <f t="shared" si="4"/>
        <v>0.26783015497431045</v>
      </c>
      <c r="J26" s="1">
        <f t="shared" si="4"/>
        <v>0.26783015722978526</v>
      </c>
      <c r="K26" s="1">
        <f t="shared" si="4"/>
        <v>0.26783015739157723</v>
      </c>
      <c r="L26" s="1">
        <f t="shared" si="4"/>
        <v>0.267830157403183</v>
      </c>
      <c r="M26" s="1">
        <f t="shared" si="4"/>
        <v>0.2678301574040155</v>
      </c>
      <c r="N26" s="1">
        <f t="shared" si="4"/>
        <v>0.26783015740407523</v>
      </c>
      <c r="O26" s="1">
        <f t="shared" si="4"/>
        <v>0.26783015740407956</v>
      </c>
      <c r="P26" s="1">
        <f t="shared" si="4"/>
        <v>0.26783015740407984</v>
      </c>
      <c r="Q26" s="1">
        <f t="shared" si="4"/>
        <v>0.26783015740407989</v>
      </c>
      <c r="R26" s="1">
        <f t="shared" si="4"/>
        <v>0.26783015740407989</v>
      </c>
      <c r="S26" s="1">
        <f t="shared" si="4"/>
        <v>0.26783015740407989</v>
      </c>
      <c r="T26" s="1">
        <f t="shared" si="4"/>
        <v>0.26783015740407989</v>
      </c>
      <c r="U26" s="1">
        <f t="shared" si="4"/>
        <v>0.26783015740407989</v>
      </c>
      <c r="V26" s="1">
        <f t="shared" si="4"/>
        <v>0.26783015740407989</v>
      </c>
      <c r="W26" s="1">
        <f t="shared" si="4"/>
        <v>0.26783015740407989</v>
      </c>
      <c r="X26" s="1">
        <f t="shared" si="4"/>
        <v>0.26783015740407989</v>
      </c>
      <c r="Y26" s="1">
        <f t="shared" si="4"/>
        <v>0.26783015740407989</v>
      </c>
      <c r="Z26" s="1">
        <f t="shared" si="4"/>
        <v>0.26783015740407989</v>
      </c>
      <c r="AA26" s="1">
        <f t="shared" si="4"/>
        <v>0.26783015740407989</v>
      </c>
      <c r="AB26" s="1">
        <f t="shared" si="4"/>
        <v>0.26783015740407989</v>
      </c>
      <c r="AC26" s="1">
        <f t="shared" si="4"/>
        <v>0.26783015740407989</v>
      </c>
      <c r="AD26" s="1">
        <f t="shared" si="4"/>
        <v>0.26783015740407989</v>
      </c>
      <c r="AE26" s="1">
        <f t="shared" si="4"/>
        <v>0.26783015740407989</v>
      </c>
      <c r="AF26" s="1"/>
    </row>
    <row r="27" spans="1:32" x14ac:dyDescent="0.3">
      <c r="A27" s="8" t="s">
        <v>16</v>
      </c>
      <c r="B27" s="1">
        <f>$C$13</f>
        <v>300</v>
      </c>
      <c r="C27" s="1">
        <f>(B27*$C$17-C25)/($C$16-$C$17*B26)</f>
        <v>74.97114274721045</v>
      </c>
      <c r="D27" s="1">
        <f t="shared" ref="D27:AE27" si="5">(C27*$C$17-D25)/($C$16-$C$17*C26)</f>
        <v>19.983587429603798</v>
      </c>
      <c r="E27" s="1">
        <f t="shared" si="5"/>
        <v>5.350373472874705</v>
      </c>
      <c r="F27" s="1">
        <f t="shared" si="5"/>
        <v>1.4329561491045</v>
      </c>
      <c r="G27" s="1">
        <f t="shared" si="5"/>
        <v>0.38378819432398753</v>
      </c>
      <c r="H27" s="1">
        <f t="shared" si="5"/>
        <v>0.1027900394957896</v>
      </c>
      <c r="I27" s="1">
        <f t="shared" si="5"/>
        <v>2.7530272207972821E-2</v>
      </c>
      <c r="J27" s="1">
        <f t="shared" si="5"/>
        <v>7.373437134040148E-3</v>
      </c>
      <c r="K27" s="1">
        <f t="shared" si="5"/>
        <v>1.9748288281268727E-3</v>
      </c>
      <c r="L27" s="1">
        <f t="shared" si="5"/>
        <v>5.2891871588156374E-4</v>
      </c>
      <c r="M27" s="1">
        <f t="shared" si="5"/>
        <v>1.4166038292848899E-4</v>
      </c>
      <c r="N27" s="1">
        <f t="shared" si="5"/>
        <v>3.7940922657658777E-5</v>
      </c>
      <c r="O27" s="1">
        <f t="shared" si="5"/>
        <v>1.0161723287456759E-5</v>
      </c>
      <c r="P27" s="1">
        <f t="shared" si="5"/>
        <v>2.7216159475762474E-6</v>
      </c>
      <c r="Q27" s="1">
        <f t="shared" si="5"/>
        <v>7.2893082763280035E-7</v>
      </c>
      <c r="R27" s="1">
        <f t="shared" si="5"/>
        <v>1.9522965830157913E-7</v>
      </c>
      <c r="S27" s="1">
        <f t="shared" si="5"/>
        <v>5.2288390112856668E-8</v>
      </c>
      <c r="T27" s="1">
        <f t="shared" si="5"/>
        <v>1.4004407754332336E-8</v>
      </c>
      <c r="U27" s="1">
        <f t="shared" si="5"/>
        <v>3.7508027331937463E-9</v>
      </c>
      <c r="V27" s="1">
        <f t="shared" si="5"/>
        <v>1.0045780864229342E-9</v>
      </c>
      <c r="W27" s="1">
        <f t="shared" si="5"/>
        <v>2.6905630701134382E-10</v>
      </c>
      <c r="X27" s="1">
        <f t="shared" si="5"/>
        <v>7.2061393057408652E-11</v>
      </c>
      <c r="Y27" s="1">
        <f t="shared" si="5"/>
        <v>1.930021424532303E-11</v>
      </c>
      <c r="Z27" s="1">
        <f t="shared" si="5"/>
        <v>5.1691794192573322E-12</v>
      </c>
      <c r="AA27" s="1">
        <f t="shared" si="5"/>
        <v>1.3844621375096214E-12</v>
      </c>
      <c r="AB27" s="1">
        <f t="shared" si="5"/>
        <v>3.7080071220919078E-13</v>
      </c>
      <c r="AC27" s="1">
        <f t="shared" si="5"/>
        <v>9.9311613116532491E-14</v>
      </c>
      <c r="AD27" s="1">
        <f t="shared" si="5"/>
        <v>2.6598644973053981E-14</v>
      </c>
      <c r="AE27" s="1">
        <f t="shared" si="5"/>
        <v>7.1239192698682856E-15</v>
      </c>
      <c r="AF27" s="1"/>
    </row>
  </sheetData>
  <conditionalFormatting sqref="B22:AF22">
    <cfRule type="colorScale" priority="1">
      <colorScale>
        <cfvo type="min"/>
        <cfvo type="percentile" val="50"/>
        <cfvo type="max"/>
        <color theme="8" tint="-0.249977111117893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0070C0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F0000"/>
        <color rgb="FFFFEB84"/>
        <color rgb="FF0070C0"/>
      </colorScale>
    </cfRule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71D3-1453-48B2-BB32-97D9A48A0AAC}">
  <sheetPr codeName="Лист4"/>
  <dimension ref="A5:AF25"/>
  <sheetViews>
    <sheetView workbookViewId="0">
      <selection activeCell="C22" sqref="C22:AE22"/>
    </sheetView>
  </sheetViews>
  <sheetFormatPr defaultRowHeight="14.4" x14ac:dyDescent="0.3"/>
  <cols>
    <col min="2" max="2" width="7.77734375" bestFit="1" customWidth="1"/>
    <col min="3" max="3" width="8.6640625" bestFit="1" customWidth="1"/>
    <col min="4" max="32" width="7.77734375" bestFit="1" customWidth="1"/>
  </cols>
  <sheetData>
    <row r="5" spans="2:4" x14ac:dyDescent="0.3">
      <c r="B5" s="3" t="s">
        <v>0</v>
      </c>
      <c r="C5" s="1">
        <v>0.1</v>
      </c>
    </row>
    <row r="6" spans="2:4" x14ac:dyDescent="0.3">
      <c r="B6" s="4" t="s">
        <v>1</v>
      </c>
      <c r="C6" s="7">
        <f>C5/30</f>
        <v>3.3333333333333335E-3</v>
      </c>
    </row>
    <row r="7" spans="2:4" x14ac:dyDescent="0.3">
      <c r="B7" s="3" t="s">
        <v>2</v>
      </c>
      <c r="C7" s="1">
        <f>(C10*C11*C6^2)/(2*C12)</f>
        <v>0.4333333333333334</v>
      </c>
    </row>
    <row r="8" spans="2:4" x14ac:dyDescent="0.3">
      <c r="B8" s="3" t="s">
        <v>3</v>
      </c>
      <c r="C8" s="1">
        <v>5000</v>
      </c>
      <c r="D8">
        <v>3.0333333333333337</v>
      </c>
    </row>
    <row r="9" spans="2:4" x14ac:dyDescent="0.3">
      <c r="B9" s="9"/>
    </row>
    <row r="10" spans="2:4" x14ac:dyDescent="0.3">
      <c r="B10" s="3" t="s">
        <v>4</v>
      </c>
      <c r="C10" s="1">
        <v>460</v>
      </c>
    </row>
    <row r="11" spans="2:4" x14ac:dyDescent="0.3">
      <c r="B11" s="3" t="s">
        <v>5</v>
      </c>
      <c r="C11" s="1">
        <v>7800</v>
      </c>
    </row>
    <row r="12" spans="2:4" x14ac:dyDescent="0.3">
      <c r="B12" s="3" t="s">
        <v>6</v>
      </c>
      <c r="C12" s="1">
        <v>46</v>
      </c>
    </row>
    <row r="13" spans="2:4" x14ac:dyDescent="0.3">
      <c r="B13" s="1"/>
      <c r="C13" s="1"/>
    </row>
    <row r="14" spans="2:4" x14ac:dyDescent="0.3">
      <c r="B14" s="1" t="s">
        <v>9</v>
      </c>
      <c r="C14" s="1">
        <f>'неявная 2'!C14</f>
        <v>100</v>
      </c>
    </row>
    <row r="15" spans="2:4" x14ac:dyDescent="0.3">
      <c r="B15" s="1" t="s">
        <v>19</v>
      </c>
      <c r="C15" s="1">
        <f>'неявная 2'!C9</f>
        <v>92000</v>
      </c>
    </row>
    <row r="20" spans="1:32" x14ac:dyDescent="0.3">
      <c r="A20" s="1"/>
      <c r="B20" s="1">
        <v>1</v>
      </c>
      <c r="C20" s="1">
        <v>2</v>
      </c>
      <c r="D20" s="1">
        <v>3</v>
      </c>
      <c r="E20" s="1">
        <v>4</v>
      </c>
      <c r="F20" s="1">
        <v>5</v>
      </c>
      <c r="G20" s="1">
        <v>6</v>
      </c>
      <c r="H20" s="1">
        <v>7</v>
      </c>
      <c r="I20" s="1">
        <v>8</v>
      </c>
      <c r="J20" s="1">
        <v>9</v>
      </c>
      <c r="K20" s="1">
        <v>10</v>
      </c>
      <c r="L20" s="1">
        <v>11</v>
      </c>
      <c r="M20" s="1">
        <v>12</v>
      </c>
      <c r="N20" s="1">
        <v>13</v>
      </c>
      <c r="O20" s="1">
        <v>14</v>
      </c>
      <c r="P20" s="1">
        <v>15</v>
      </c>
      <c r="Q20" s="1">
        <v>16</v>
      </c>
      <c r="R20" s="1">
        <v>17</v>
      </c>
      <c r="S20" s="1">
        <v>18</v>
      </c>
      <c r="T20" s="1">
        <v>19</v>
      </c>
      <c r="U20" s="1">
        <v>20</v>
      </c>
      <c r="V20" s="1">
        <v>21</v>
      </c>
      <c r="W20" s="1">
        <v>22</v>
      </c>
      <c r="X20" s="1">
        <v>23</v>
      </c>
      <c r="Y20" s="1">
        <v>24</v>
      </c>
      <c r="Z20" s="1">
        <v>25</v>
      </c>
      <c r="AA20" s="1">
        <v>26</v>
      </c>
      <c r="AB20" s="1">
        <v>27</v>
      </c>
      <c r="AC20" s="1">
        <v>28</v>
      </c>
      <c r="AD20" s="1">
        <v>29</v>
      </c>
      <c r="AE20" s="1">
        <v>30</v>
      </c>
      <c r="AF20" s="1">
        <v>31</v>
      </c>
    </row>
    <row r="21" spans="1:32" x14ac:dyDescent="0.3">
      <c r="A21" s="1" t="s">
        <v>0</v>
      </c>
      <c r="B21" s="1">
        <v>0</v>
      </c>
      <c r="C21" s="2">
        <f>B21+$C$6</f>
        <v>3.3333333333333335E-3</v>
      </c>
      <c r="D21" s="2">
        <f t="shared" ref="D21:AF21" si="0">C21+$C$6</f>
        <v>6.6666666666666671E-3</v>
      </c>
      <c r="E21" s="2">
        <f t="shared" si="0"/>
        <v>0.01</v>
      </c>
      <c r="F21" s="2">
        <f t="shared" si="0"/>
        <v>1.3333333333333334E-2</v>
      </c>
      <c r="G21" s="2">
        <f t="shared" si="0"/>
        <v>1.6666666666666666E-2</v>
      </c>
      <c r="H21" s="2">
        <f t="shared" si="0"/>
        <v>0.02</v>
      </c>
      <c r="I21" s="2">
        <f t="shared" si="0"/>
        <v>2.3333333333333334E-2</v>
      </c>
      <c r="J21" s="2">
        <f t="shared" si="0"/>
        <v>2.6666666666666668E-2</v>
      </c>
      <c r="K21" s="2">
        <f t="shared" si="0"/>
        <v>3.0000000000000002E-2</v>
      </c>
      <c r="L21" s="2">
        <f t="shared" si="0"/>
        <v>3.3333333333333333E-2</v>
      </c>
      <c r="M21" s="2">
        <f t="shared" si="0"/>
        <v>3.6666666666666667E-2</v>
      </c>
      <c r="N21" s="2">
        <f t="shared" si="0"/>
        <v>0.04</v>
      </c>
      <c r="O21" s="2">
        <f t="shared" si="0"/>
        <v>4.3333333333333335E-2</v>
      </c>
      <c r="P21" s="2">
        <f t="shared" si="0"/>
        <v>4.6666666666666669E-2</v>
      </c>
      <c r="Q21" s="2">
        <f t="shared" si="0"/>
        <v>0.05</v>
      </c>
      <c r="R21" s="2">
        <f t="shared" si="0"/>
        <v>5.3333333333333337E-2</v>
      </c>
      <c r="S21" s="2">
        <f t="shared" si="0"/>
        <v>5.6666666666666671E-2</v>
      </c>
      <c r="T21" s="2">
        <f t="shared" si="0"/>
        <v>6.0000000000000005E-2</v>
      </c>
      <c r="U21" s="2">
        <f t="shared" si="0"/>
        <v>6.3333333333333339E-2</v>
      </c>
      <c r="V21" s="2">
        <f t="shared" si="0"/>
        <v>6.6666666666666666E-2</v>
      </c>
      <c r="W21" s="2">
        <f t="shared" si="0"/>
        <v>6.9999999999999993E-2</v>
      </c>
      <c r="X21" s="2">
        <f t="shared" si="0"/>
        <v>7.333333333333332E-2</v>
      </c>
      <c r="Y21" s="2">
        <f t="shared" si="0"/>
        <v>7.6666666666666647E-2</v>
      </c>
      <c r="Z21" s="2">
        <f t="shared" si="0"/>
        <v>7.9999999999999974E-2</v>
      </c>
      <c r="AA21" s="2">
        <f t="shared" si="0"/>
        <v>8.3333333333333301E-2</v>
      </c>
      <c r="AB21" s="2">
        <f t="shared" si="0"/>
        <v>8.6666666666666628E-2</v>
      </c>
      <c r="AC21" s="2">
        <f t="shared" si="0"/>
        <v>8.9999999999999955E-2</v>
      </c>
      <c r="AD21" s="2">
        <f t="shared" si="0"/>
        <v>9.3333333333333282E-2</v>
      </c>
      <c r="AE21" s="2">
        <f t="shared" si="0"/>
        <v>9.6666666666666609E-2</v>
      </c>
      <c r="AF21" s="2">
        <f t="shared" si="0"/>
        <v>9.9999999999999936E-2</v>
      </c>
    </row>
    <row r="22" spans="1:32" x14ac:dyDescent="0.3">
      <c r="A22" s="1" t="s">
        <v>7</v>
      </c>
      <c r="B22" s="1">
        <f>(B25/C12)*C6+C22</f>
        <v>6.666666666666667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f>C14</f>
        <v>100</v>
      </c>
    </row>
    <row r="23" spans="1:32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</row>
    <row r="24" spans="1:32" x14ac:dyDescent="0.3">
      <c r="A24" s="1" t="s">
        <v>10</v>
      </c>
      <c r="B24" s="1"/>
      <c r="C24" s="1">
        <f>C22+($C12*$C7)/($C10*$C11)*((D22-2*C22+B22)/$C6^2)</f>
        <v>3.3333333333333335</v>
      </c>
      <c r="D24" s="1">
        <f t="shared" ref="D24:AE24" si="1">D22+($C12*$C7)/($C10*$C11)*((E22-2*D22+C22)/$C6^2)</f>
        <v>0</v>
      </c>
      <c r="E24" s="1">
        <f t="shared" si="1"/>
        <v>0</v>
      </c>
      <c r="F24" s="1">
        <f t="shared" si="1"/>
        <v>0</v>
      </c>
      <c r="G24" s="1">
        <f t="shared" si="1"/>
        <v>0</v>
      </c>
      <c r="H24" s="1">
        <f t="shared" si="1"/>
        <v>0</v>
      </c>
      <c r="I24" s="1">
        <f t="shared" si="1"/>
        <v>0</v>
      </c>
      <c r="J24" s="1">
        <f t="shared" si="1"/>
        <v>0</v>
      </c>
      <c r="K24" s="1">
        <f t="shared" si="1"/>
        <v>0</v>
      </c>
      <c r="L24" s="1">
        <f t="shared" si="1"/>
        <v>0</v>
      </c>
      <c r="M24" s="1">
        <f t="shared" si="1"/>
        <v>0</v>
      </c>
      <c r="N24" s="1">
        <f t="shared" si="1"/>
        <v>0</v>
      </c>
      <c r="O24" s="1">
        <f t="shared" si="1"/>
        <v>0</v>
      </c>
      <c r="P24" s="1">
        <f t="shared" si="1"/>
        <v>0</v>
      </c>
      <c r="Q24" s="1">
        <f t="shared" si="1"/>
        <v>0</v>
      </c>
      <c r="R24" s="1">
        <f t="shared" si="1"/>
        <v>0</v>
      </c>
      <c r="S24" s="1">
        <f t="shared" si="1"/>
        <v>0</v>
      </c>
      <c r="T24" s="1">
        <f t="shared" si="1"/>
        <v>0</v>
      </c>
      <c r="U24" s="1">
        <f t="shared" si="1"/>
        <v>0</v>
      </c>
      <c r="V24" s="1">
        <f t="shared" si="1"/>
        <v>0</v>
      </c>
      <c r="W24" s="1">
        <f t="shared" si="1"/>
        <v>0</v>
      </c>
      <c r="X24" s="1">
        <f t="shared" si="1"/>
        <v>0</v>
      </c>
      <c r="Y24" s="1">
        <f t="shared" si="1"/>
        <v>0</v>
      </c>
      <c r="Z24" s="1">
        <f t="shared" si="1"/>
        <v>0</v>
      </c>
      <c r="AA24" s="1">
        <f t="shared" si="1"/>
        <v>0</v>
      </c>
      <c r="AB24" s="1">
        <f t="shared" si="1"/>
        <v>0</v>
      </c>
      <c r="AC24" s="1">
        <f t="shared" si="1"/>
        <v>0</v>
      </c>
      <c r="AD24" s="1">
        <f t="shared" si="1"/>
        <v>0</v>
      </c>
      <c r="AE24" s="1">
        <f t="shared" si="1"/>
        <v>50</v>
      </c>
      <c r="AF24" s="1"/>
    </row>
    <row r="25" spans="1:32" x14ac:dyDescent="0.3">
      <c r="A25" s="1" t="s">
        <v>17</v>
      </c>
      <c r="B25" s="1">
        <f>C15</f>
        <v>92000</v>
      </c>
      <c r="C25" s="1">
        <f>-$C$12*((C22-B22)/$C$6)</f>
        <v>92000</v>
      </c>
      <c r="D25" s="1">
        <f t="shared" ref="D25:AF25" si="2">-$C$12*((D22-C22)/$C$6)</f>
        <v>0</v>
      </c>
      <c r="E25" s="1">
        <f t="shared" si="2"/>
        <v>0</v>
      </c>
      <c r="F25" s="1">
        <f t="shared" si="2"/>
        <v>0</v>
      </c>
      <c r="G25" s="1">
        <f t="shared" si="2"/>
        <v>0</v>
      </c>
      <c r="H25" s="1">
        <f t="shared" si="2"/>
        <v>0</v>
      </c>
      <c r="I25" s="1">
        <f t="shared" si="2"/>
        <v>0</v>
      </c>
      <c r="J25" s="1">
        <f t="shared" si="2"/>
        <v>0</v>
      </c>
      <c r="K25" s="1">
        <f t="shared" si="2"/>
        <v>0</v>
      </c>
      <c r="L25" s="1">
        <f t="shared" si="2"/>
        <v>0</v>
      </c>
      <c r="M25" s="1">
        <f t="shared" si="2"/>
        <v>0</v>
      </c>
      <c r="N25" s="1">
        <f t="shared" si="2"/>
        <v>0</v>
      </c>
      <c r="O25" s="1">
        <f t="shared" si="2"/>
        <v>0</v>
      </c>
      <c r="P25" s="1">
        <f t="shared" si="2"/>
        <v>0</v>
      </c>
      <c r="Q25" s="1">
        <f t="shared" si="2"/>
        <v>0</v>
      </c>
      <c r="R25" s="1">
        <f t="shared" si="2"/>
        <v>0</v>
      </c>
      <c r="S25" s="1">
        <f t="shared" si="2"/>
        <v>0</v>
      </c>
      <c r="T25" s="1">
        <f t="shared" si="2"/>
        <v>0</v>
      </c>
      <c r="U25" s="1">
        <f t="shared" si="2"/>
        <v>0</v>
      </c>
      <c r="V25" s="1">
        <f t="shared" si="2"/>
        <v>0</v>
      </c>
      <c r="W25" s="1">
        <f t="shared" si="2"/>
        <v>0</v>
      </c>
      <c r="X25" s="1">
        <f t="shared" si="2"/>
        <v>0</v>
      </c>
      <c r="Y25" s="1">
        <f t="shared" si="2"/>
        <v>0</v>
      </c>
      <c r="Z25" s="1">
        <f t="shared" si="2"/>
        <v>0</v>
      </c>
      <c r="AA25" s="1">
        <f t="shared" si="2"/>
        <v>0</v>
      </c>
      <c r="AB25" s="1">
        <f t="shared" si="2"/>
        <v>0</v>
      </c>
      <c r="AC25" s="1">
        <f t="shared" si="2"/>
        <v>0</v>
      </c>
      <c r="AD25" s="1">
        <f t="shared" si="2"/>
        <v>0</v>
      </c>
      <c r="AE25" s="1">
        <f t="shared" si="2"/>
        <v>0</v>
      </c>
      <c r="AF25" s="1">
        <f t="shared" si="2"/>
        <v>-1379999.9999999998</v>
      </c>
    </row>
  </sheetData>
  <conditionalFormatting sqref="B22:AF22">
    <cfRule type="colorScale" priority="1">
      <colorScale>
        <cfvo type="min"/>
        <cfvo type="percentile" val="50"/>
        <cfvo type="max"/>
        <color theme="8" tint="-0.249977111117893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0070C0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F0000"/>
        <color rgb="FFFFEB84"/>
        <color rgb="FF0070C0"/>
      </colorScale>
    </cfRule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неявная схема</vt:lpstr>
      <vt:lpstr>явная схема</vt:lpstr>
      <vt:lpstr>неявная 2</vt:lpstr>
      <vt:lpstr>явная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Олег Столь</dc:creator>
  <cp:lastModifiedBy>Олег Столь</cp:lastModifiedBy>
  <dcterms:created xsi:type="dcterms:W3CDTF">2021-02-19T10:01:56Z</dcterms:created>
  <dcterms:modified xsi:type="dcterms:W3CDTF">2021-03-18T17:22:59Z</dcterms:modified>
</cp:coreProperties>
</file>